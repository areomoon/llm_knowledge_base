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 Tracker" sheetId="2" state="visible" r:id="rId4"/>
    <sheet name="Investment Portfolio" sheetId="3" state="visible" r:id="rId5"/>
    <sheet name="Four Tracks Progress" sheetId="4" state="visible" r:id="rId6"/>
    <sheet name="Milestones" sheetId="5" state="visible" r:id="rId7"/>
    <sheet name="Insurance Checklist" sheetId="6" state="visible" r:id="rId8"/>
    <sheet name="10-Year Projection" sheetId="7" state="visible" r:id="rId9"/>
    <sheet name="Assump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<sst xmlns="http://schemas.openxmlformats.org/spreadsheetml/2006/main" count="205" uniqueCount="190">
  <si>
    <r>
      <rPr>
        <b val="true"/>
        <sz val="16"/>
        <color rgb="FF2E75B6"/>
        <rFont val="Arial"/>
        <family val="0"/>
        <charset val="1"/>
      </rPr>
      <t xml:space="preserve">Areomoon </t>
    </r>
    <r>
      <rPr>
        <b val="true"/>
        <sz val="16"/>
        <color rgb="FF2E75B6"/>
        <rFont val="DejaVu Sans"/>
        <family val="2"/>
      </rPr>
      <t xml:space="preserve">財富自由追蹤儀表板</t>
    </r>
  </si>
  <si>
    <r>
      <rPr>
        <i val="true"/>
        <sz val="11"/>
        <color rgb="FF595959"/>
        <rFont val="Arial"/>
        <family val="0"/>
        <charset val="1"/>
      </rPr>
      <t xml:space="preserve">2026-2036 | </t>
    </r>
    <r>
      <rPr>
        <i val="true"/>
        <sz val="11"/>
        <color rgb="FF595959"/>
        <rFont val="DejaVu Sans"/>
        <family val="2"/>
      </rPr>
      <t xml:space="preserve">風險容忍度：低 </t>
    </r>
    <r>
      <rPr>
        <i val="true"/>
        <sz val="11"/>
        <color rgb="FF595959"/>
        <rFont val="Arial"/>
        <family val="0"/>
        <charset val="1"/>
      </rPr>
      <t xml:space="preserve">| </t>
    </r>
    <r>
      <rPr>
        <i val="true"/>
        <sz val="11"/>
        <color rgb="FF595959"/>
        <rFont val="DejaVu Sans"/>
        <family val="2"/>
      </rPr>
      <t xml:space="preserve">目標：</t>
    </r>
    <r>
      <rPr>
        <i val="true"/>
        <sz val="11"/>
        <color rgb="FF595959"/>
        <rFont val="Arial"/>
        <family val="0"/>
        <charset val="1"/>
      </rPr>
      <t xml:space="preserve">10 </t>
    </r>
    <r>
      <rPr>
        <i val="true"/>
        <sz val="11"/>
        <color rgb="FF595959"/>
        <rFont val="DejaVu Sans"/>
        <family val="2"/>
      </rPr>
      <t xml:space="preserve">年內達成家庭財務獨立</t>
    </r>
  </si>
  <si>
    <r>
      <rPr>
        <b val="true"/>
        <sz val="13"/>
        <color rgb="FF2E75B6"/>
        <rFont val="DejaVu Sans"/>
        <family val="2"/>
      </rPr>
      <t xml:space="preserve">關鍵指標（來自 </t>
    </r>
    <r>
      <rPr>
        <b val="true"/>
        <sz val="13"/>
        <color rgb="FF2E75B6"/>
        <rFont val="Arial"/>
        <family val="0"/>
        <charset val="1"/>
      </rPr>
      <t xml:space="preserve">Monthly Tracker </t>
    </r>
    <r>
      <rPr>
        <b val="true"/>
        <sz val="13"/>
        <color rgb="FF2E75B6"/>
        <rFont val="DejaVu Sans"/>
        <family val="2"/>
      </rPr>
      <t xml:space="preserve">最新月份）</t>
    </r>
  </si>
  <si>
    <r>
      <rPr>
        <b val="true"/>
        <sz val="11"/>
        <rFont val="DejaVu Sans"/>
        <family val="2"/>
      </rPr>
      <t xml:space="preserve">淨資產 </t>
    </r>
    <r>
      <rPr>
        <b val="true"/>
        <sz val="11"/>
        <rFont val="Arial"/>
        <family val="0"/>
        <charset val="1"/>
      </rPr>
      <t xml:space="preserve">(Net Worth)</t>
    </r>
  </si>
  <si>
    <t xml:space="preserve">投資組合總值</t>
  </si>
  <si>
    <t xml:space="preserve">流動現金</t>
  </si>
  <si>
    <t xml:space="preserve">本月總收入</t>
  </si>
  <si>
    <t xml:space="preserve">本月儲蓄率</t>
  </si>
  <si>
    <r>
      <rPr>
        <b val="true"/>
        <sz val="11"/>
        <rFont val="DejaVu Sans"/>
        <family val="2"/>
      </rPr>
      <t xml:space="preserve">距離 </t>
    </r>
    <r>
      <rPr>
        <b val="true"/>
        <sz val="11"/>
        <rFont val="Arial"/>
        <family val="0"/>
        <charset val="1"/>
      </rPr>
      <t xml:space="preserve">5 </t>
    </r>
    <r>
      <rPr>
        <b val="true"/>
        <sz val="11"/>
        <rFont val="DejaVu Sans"/>
        <family val="2"/>
      </rPr>
      <t xml:space="preserve">年目標</t>
    </r>
  </si>
  <si>
    <r>
      <rPr>
        <b val="true"/>
        <sz val="13"/>
        <color rgb="FF2E75B6"/>
        <rFont val="DejaVu Sans"/>
        <family val="2"/>
      </rPr>
      <t xml:space="preserve">家庭 </t>
    </r>
    <r>
      <rPr>
        <b val="true"/>
        <sz val="13"/>
        <color rgb="FF2E75B6"/>
        <rFont val="Arial"/>
        <family val="0"/>
        <charset val="1"/>
      </rPr>
      <t xml:space="preserve">Milestone </t>
    </r>
    <r>
      <rPr>
        <b val="true"/>
        <sz val="13"/>
        <color rgb="FF2E75B6"/>
        <rFont val="DejaVu Sans"/>
        <family val="2"/>
      </rPr>
      <t xml:space="preserve">倒數</t>
    </r>
  </si>
  <si>
    <t xml:space="preserve">Milestone</t>
  </si>
  <si>
    <t xml:space="preserve">目標日期</t>
  </si>
  <si>
    <t xml:space="preserve">距離今天</t>
  </si>
  <si>
    <r>
      <rPr>
        <b val="true"/>
        <sz val="11"/>
        <color rgb="FFFFFFFF"/>
        <rFont val="DejaVu Sans"/>
        <family val="2"/>
      </rPr>
      <t xml:space="preserve">預算 </t>
    </r>
    <r>
      <rPr>
        <b val="true"/>
        <sz val="11"/>
        <color rgb="FFFFFFFF"/>
        <rFont val="Arial"/>
        <family val="0"/>
        <charset val="1"/>
      </rPr>
      <t xml:space="preserve">(SGD)</t>
    </r>
  </si>
  <si>
    <t xml:space="preserve">目前儲蓄</t>
  </si>
  <si>
    <t xml:space="preserve">完成度</t>
  </si>
  <si>
    <t xml:space="preserve">結婚</t>
  </si>
  <si>
    <t xml:space="preserve">購屋頭期款</t>
  </si>
  <si>
    <t xml:space="preserve">第一胎</t>
  </si>
  <si>
    <t xml:space="preserve">緊急備用金</t>
  </si>
  <si>
    <t xml:space="preserve">下個月行動清單</t>
  </si>
  <si>
    <r>
      <rPr>
        <sz val="11"/>
        <rFont val="Arial"/>
        <family val="0"/>
        <charset val="1"/>
      </rPr>
      <t xml:space="preserve">1. </t>
    </r>
    <r>
      <rPr>
        <sz val="11"/>
        <rFont val="DejaVu Sans"/>
        <family val="2"/>
      </rPr>
      <t xml:space="preserve">更新 </t>
    </r>
    <r>
      <rPr>
        <sz val="11"/>
        <rFont val="Arial"/>
        <family val="0"/>
        <charset val="1"/>
      </rPr>
      <t xml:space="preserve">Monthly Tracker — </t>
    </r>
    <r>
      <rPr>
        <sz val="11"/>
        <rFont val="DejaVu Sans"/>
        <family val="2"/>
      </rPr>
      <t xml:space="preserve">填入本月收入、支出、投資餘額</t>
    </r>
  </si>
  <si>
    <r>
      <rPr>
        <sz val="11"/>
        <rFont val="Arial"/>
        <family val="0"/>
        <charset val="1"/>
      </rPr>
      <t xml:space="preserve">2. </t>
    </r>
    <r>
      <rPr>
        <sz val="11"/>
        <rFont val="DejaVu Sans"/>
        <family val="2"/>
      </rPr>
      <t xml:space="preserve">檢查緊急備用金是否達到 </t>
    </r>
    <r>
      <rPr>
        <sz val="11"/>
        <rFont val="Arial"/>
        <family val="0"/>
        <charset val="1"/>
      </rPr>
      <t xml:space="preserve">12 </t>
    </r>
    <r>
      <rPr>
        <sz val="11"/>
        <rFont val="DejaVu Sans"/>
        <family val="2"/>
      </rPr>
      <t xml:space="preserve">個月開銷門檻</t>
    </r>
  </si>
  <si>
    <r>
      <rPr>
        <sz val="11"/>
        <rFont val="Arial"/>
        <family val="0"/>
        <charset val="1"/>
      </rPr>
      <t xml:space="preserve">3. Review </t>
    </r>
    <r>
      <rPr>
        <sz val="11"/>
        <rFont val="DejaVu Sans"/>
        <family val="2"/>
      </rPr>
      <t xml:space="preserve">四軌進度表，標註本月關鍵事件</t>
    </r>
  </si>
  <si>
    <r>
      <rPr>
        <sz val="11"/>
        <rFont val="Arial"/>
        <family val="0"/>
        <charset val="1"/>
      </rPr>
      <t xml:space="preserve">4. </t>
    </r>
    <r>
      <rPr>
        <sz val="11"/>
        <rFont val="DejaVu Sans"/>
        <family val="2"/>
      </rPr>
      <t xml:space="preserve">投資組合 </t>
    </r>
    <r>
      <rPr>
        <sz val="11"/>
        <rFont val="Arial"/>
        <family val="0"/>
        <charset val="1"/>
      </rPr>
      <t xml:space="preserve">rebalance</t>
    </r>
    <r>
      <rPr>
        <sz val="11"/>
        <rFont val="DejaVu Sans"/>
        <family val="2"/>
      </rPr>
      <t xml:space="preserve">（若偏離目標配置 </t>
    </r>
    <r>
      <rPr>
        <sz val="11"/>
        <rFont val="Arial"/>
        <family val="0"/>
        <charset val="1"/>
      </rPr>
      <t xml:space="preserve">&gt; 5%</t>
    </r>
    <r>
      <rPr>
        <sz val="11"/>
        <rFont val="DejaVu Sans"/>
        <family val="2"/>
      </rPr>
      <t xml:space="preserve">）</t>
    </r>
  </si>
  <si>
    <r>
      <rPr>
        <sz val="11"/>
        <rFont val="Arial"/>
        <family val="0"/>
        <charset val="1"/>
      </rPr>
      <t xml:space="preserve">5. LinkedIn </t>
    </r>
    <r>
      <rPr>
        <sz val="11"/>
        <rFont val="DejaVu Sans"/>
        <family val="2"/>
      </rPr>
      <t xml:space="preserve">發 </t>
    </r>
    <r>
      <rPr>
        <sz val="11"/>
        <rFont val="Arial"/>
        <family val="0"/>
        <charset val="1"/>
      </rPr>
      <t xml:space="preserve">1-2 </t>
    </r>
    <r>
      <rPr>
        <sz val="11"/>
        <rFont val="DejaVu Sans"/>
        <family val="2"/>
      </rPr>
      <t xml:space="preserve">篇技術文章（軌道 </t>
    </r>
    <r>
      <rPr>
        <sz val="11"/>
        <rFont val="Arial"/>
        <family val="0"/>
        <charset val="1"/>
      </rPr>
      <t xml:space="preserve">2 </t>
    </r>
    <r>
      <rPr>
        <sz val="11"/>
        <rFont val="DejaVu Sans"/>
        <family val="2"/>
      </rPr>
      <t xml:space="preserve">品牌）</t>
    </r>
  </si>
  <si>
    <r>
      <rPr>
        <sz val="11"/>
        <rFont val="Arial"/>
        <family val="0"/>
        <charset val="1"/>
      </rPr>
      <t xml:space="preserve">6. </t>
    </r>
    <r>
      <rPr>
        <sz val="11"/>
        <rFont val="DejaVu Sans"/>
        <family val="2"/>
      </rPr>
      <t xml:space="preserve">與伴侶每月財務 </t>
    </r>
    <r>
      <rPr>
        <sz val="11"/>
        <rFont val="Arial"/>
        <family val="0"/>
        <charset val="1"/>
      </rPr>
      <t xml:space="preserve">check-in</t>
    </r>
  </si>
  <si>
    <t xml:space="preserve">月度財務追蹤表</t>
  </si>
  <si>
    <r>
      <rPr>
        <i val="true"/>
        <sz val="10"/>
        <color rgb="FF595959"/>
        <rFont val="DejaVu Sans"/>
        <family val="2"/>
      </rPr>
      <t xml:space="preserve">每月填寫藍色欄位，其他欄位自動計算。</t>
    </r>
    <r>
      <rPr>
        <i val="true"/>
        <sz val="10"/>
        <color rgb="FF595959"/>
        <rFont val="Arial"/>
        <family val="0"/>
        <charset val="1"/>
      </rPr>
      <t xml:space="preserve">A </t>
    </r>
    <r>
      <rPr>
        <i val="true"/>
        <sz val="10"/>
        <color rgb="FF595959"/>
        <rFont val="DejaVu Sans"/>
        <family val="2"/>
      </rPr>
      <t xml:space="preserve">欄為月份（輸入每月 </t>
    </r>
    <r>
      <rPr>
        <i val="true"/>
        <sz val="10"/>
        <color rgb="FF595959"/>
        <rFont val="Arial"/>
        <family val="0"/>
        <charset val="1"/>
      </rPr>
      <t xml:space="preserve">1 </t>
    </r>
    <r>
      <rPr>
        <i val="true"/>
        <sz val="10"/>
        <color rgb="FF595959"/>
        <rFont val="DejaVu Sans"/>
        <family val="2"/>
      </rPr>
      <t xml:space="preserve">日）</t>
    </r>
  </si>
  <si>
    <t xml:space="preserve">月份</t>
  </si>
  <si>
    <r>
      <rPr>
        <b val="true"/>
        <sz val="11"/>
        <color rgb="FFFFFFFF"/>
        <rFont val="DejaVu Sans"/>
        <family val="2"/>
      </rPr>
      <t xml:space="preserve">主業薪資 </t>
    </r>
    <r>
      <rPr>
        <b val="true"/>
        <sz val="11"/>
        <color rgb="FFFFFFFF"/>
        <rFont val="Arial"/>
        <family val="0"/>
        <charset val="1"/>
      </rPr>
      <t xml:space="preserve">(SGD)</t>
    </r>
  </si>
  <si>
    <r>
      <rPr>
        <b val="true"/>
        <sz val="11"/>
        <color rgb="FFFFFFFF"/>
        <rFont val="DejaVu Sans"/>
        <family val="2"/>
      </rPr>
      <t xml:space="preserve">獎金 </t>
    </r>
    <r>
      <rPr>
        <b val="true"/>
        <sz val="11"/>
        <color rgb="FFFFFFFF"/>
        <rFont val="Arial"/>
        <family val="0"/>
        <charset val="1"/>
      </rPr>
      <t xml:space="preserve">(SGD)</t>
    </r>
  </si>
  <si>
    <t xml:space="preserve">諮詢收入</t>
  </si>
  <si>
    <t xml:space="preserve">產品收入</t>
  </si>
  <si>
    <t xml:space="preserve">投資股息</t>
  </si>
  <si>
    <t xml:space="preserve">其他收入</t>
  </si>
  <si>
    <t xml:space="preserve">總收入</t>
  </si>
  <si>
    <t xml:space="preserve">固定支出</t>
  </si>
  <si>
    <t xml:space="preserve">變動支出</t>
  </si>
  <si>
    <t xml:space="preserve">總支出</t>
  </si>
  <si>
    <t xml:space="preserve">儲蓄率</t>
  </si>
  <si>
    <t xml:space="preserve">投資組合</t>
  </si>
  <si>
    <t xml:space="preserve">其他資產</t>
  </si>
  <si>
    <t xml:space="preserve">淨資產</t>
  </si>
  <si>
    <t xml:space="preserve">色彩說明：</t>
  </si>
  <si>
    <r>
      <rPr>
        <sz val="11"/>
        <color rgb="FF0000FF"/>
        <rFont val="DejaVu Sans"/>
        <family val="2"/>
      </rPr>
      <t xml:space="preserve">藍色 </t>
    </r>
    <r>
      <rPr>
        <sz val="11"/>
        <color rgb="FF0000FF"/>
        <rFont val="Arial"/>
        <family val="0"/>
        <charset val="1"/>
      </rPr>
      <t xml:space="preserve">= </t>
    </r>
    <r>
      <rPr>
        <sz val="11"/>
        <color rgb="FF0000FF"/>
        <rFont val="DejaVu Sans"/>
        <family val="2"/>
      </rPr>
      <t xml:space="preserve">手動輸入</t>
    </r>
  </si>
  <si>
    <r>
      <rPr>
        <sz val="11"/>
        <color rgb="FF000000"/>
        <rFont val="DejaVu Sans"/>
        <family val="2"/>
      </rPr>
      <t xml:space="preserve">黑色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DejaVu Sans"/>
        <family val="2"/>
      </rPr>
      <t xml:space="preserve">自動計算</t>
    </r>
  </si>
  <si>
    <r>
      <rPr>
        <sz val="11"/>
        <color rgb="FF008000"/>
        <rFont val="DejaVu Sans"/>
        <family val="2"/>
      </rPr>
      <t xml:space="preserve">綠色 </t>
    </r>
    <r>
      <rPr>
        <sz val="11"/>
        <color rgb="FF008000"/>
        <rFont val="Arial"/>
        <family val="0"/>
        <charset val="1"/>
      </rPr>
      <t xml:space="preserve">= </t>
    </r>
    <r>
      <rPr>
        <sz val="11"/>
        <color rgb="FF008000"/>
        <rFont val="DejaVu Sans"/>
        <family val="2"/>
      </rPr>
      <t xml:space="preserve">跨工作表連結</t>
    </r>
  </si>
  <si>
    <t xml:space="preserve">投資組合配置與追蹤</t>
  </si>
  <si>
    <r>
      <rPr>
        <i val="true"/>
        <sz val="10"/>
        <color rgb="FF595959"/>
        <rFont val="DejaVu Sans"/>
        <family val="2"/>
      </rPr>
      <t xml:space="preserve">追蹤各資產類別的配置是否符合目標。偏離超過 </t>
    </r>
    <r>
      <rPr>
        <i val="true"/>
        <sz val="10"/>
        <color rgb="FF595959"/>
        <rFont val="Arial"/>
        <family val="0"/>
        <charset val="1"/>
      </rPr>
      <t xml:space="preserve">5% </t>
    </r>
    <r>
      <rPr>
        <i val="true"/>
        <sz val="10"/>
        <color rgb="FF595959"/>
        <rFont val="DejaVu Sans"/>
        <family val="2"/>
      </rPr>
      <t xml:space="preserve">時建議 </t>
    </r>
    <r>
      <rPr>
        <i val="true"/>
        <sz val="10"/>
        <color rgb="FF595959"/>
        <rFont val="Arial"/>
        <family val="0"/>
        <charset val="1"/>
      </rPr>
      <t xml:space="preserve">rebalance</t>
    </r>
    <r>
      <rPr>
        <i val="true"/>
        <sz val="10"/>
        <color rgb="FF595959"/>
        <rFont val="DejaVu Sans"/>
        <family val="2"/>
      </rPr>
      <t xml:space="preserve">。</t>
    </r>
  </si>
  <si>
    <t xml:space="preserve">資產類別</t>
  </si>
  <si>
    <t xml:space="preserve">目標配置</t>
  </si>
  <si>
    <r>
      <rPr>
        <b val="true"/>
        <sz val="11"/>
        <color rgb="FFFFFFFF"/>
        <rFont val="DejaVu Sans"/>
        <family val="2"/>
      </rPr>
      <t xml:space="preserve">當前市值 </t>
    </r>
    <r>
      <rPr>
        <b val="true"/>
        <sz val="11"/>
        <color rgb="FFFFFFFF"/>
        <rFont val="Arial"/>
        <family val="0"/>
        <charset val="1"/>
      </rPr>
      <t xml:space="preserve">(SGD)</t>
    </r>
  </si>
  <si>
    <t xml:space="preserve">實際配置</t>
  </si>
  <si>
    <t xml:space="preserve">偏差</t>
  </si>
  <si>
    <t xml:space="preserve">狀態</t>
  </si>
  <si>
    <r>
      <rPr>
        <sz val="11"/>
        <color theme="1"/>
        <rFont val="DejaVu Sans"/>
        <family val="2"/>
      </rPr>
      <t xml:space="preserve">全球股票 </t>
    </r>
    <r>
      <rPr>
        <sz val="11"/>
        <color theme="1"/>
        <rFont val="Calibri"/>
        <family val="2"/>
        <charset val="1"/>
      </rPr>
      <t xml:space="preserve">Index (VWRA)</t>
    </r>
  </si>
  <si>
    <r>
      <rPr>
        <sz val="11"/>
        <color theme="1"/>
        <rFont val="DejaVu Sans"/>
        <family val="2"/>
      </rPr>
      <t xml:space="preserve">美國股票 </t>
    </r>
    <r>
      <rPr>
        <sz val="11"/>
        <color theme="1"/>
        <rFont val="Calibri"/>
        <family val="2"/>
        <charset val="1"/>
      </rPr>
      <t xml:space="preserve">Index (VOO/VTI)</t>
    </r>
  </si>
  <si>
    <r>
      <rPr>
        <sz val="11"/>
        <color theme="1"/>
        <rFont val="DejaVu Sans"/>
        <family val="2"/>
      </rPr>
      <t xml:space="preserve">債券 </t>
    </r>
    <r>
      <rPr>
        <sz val="11"/>
        <color theme="1"/>
        <rFont val="Calibri"/>
        <family val="2"/>
        <charset val="1"/>
      </rPr>
      <t xml:space="preserve">(SSB, AGG)</t>
    </r>
  </si>
  <si>
    <t xml:space="preserve">REITs (CLR, Lion-Phillip)</t>
  </si>
  <si>
    <r>
      <rPr>
        <sz val="11"/>
        <color theme="1"/>
        <rFont val="DejaVu Sans"/>
        <family val="2"/>
      </rPr>
      <t xml:space="preserve">衛星配置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個別股</t>
    </r>
    <r>
      <rPr>
        <sz val="11"/>
        <color theme="1"/>
        <rFont val="Calibri"/>
        <family val="2"/>
        <charset val="1"/>
      </rPr>
      <t xml:space="preserve">/BTC)</t>
    </r>
  </si>
  <si>
    <t xml:space="preserve">總計</t>
  </si>
  <si>
    <r>
      <rPr>
        <b val="true"/>
        <sz val="13"/>
        <color rgb="FF2E75B6"/>
        <rFont val="Arial"/>
        <family val="0"/>
        <charset val="1"/>
      </rPr>
      <t xml:space="preserve">Rebalance </t>
    </r>
    <r>
      <rPr>
        <b val="true"/>
        <sz val="13"/>
        <color rgb="FF2E75B6"/>
        <rFont val="DejaVu Sans"/>
        <family val="2"/>
      </rPr>
      <t xml:space="preserve">規則</t>
    </r>
  </si>
  <si>
    <r>
      <rPr>
        <sz val="10"/>
        <rFont val="Arial"/>
        <family val="0"/>
        <charset val="1"/>
      </rPr>
      <t xml:space="preserve">1. </t>
    </r>
    <r>
      <rPr>
        <sz val="10"/>
        <rFont val="DejaVu Sans"/>
        <family val="2"/>
      </rPr>
      <t xml:space="preserve">每季檢查一次配置</t>
    </r>
  </si>
  <si>
    <r>
      <rPr>
        <sz val="10"/>
        <rFont val="Arial"/>
        <family val="0"/>
        <charset val="1"/>
      </rPr>
      <t xml:space="preserve">2. </t>
    </r>
    <r>
      <rPr>
        <sz val="10"/>
        <rFont val="DejaVu Sans"/>
        <family val="2"/>
      </rPr>
      <t xml:space="preserve">偏差超過 </t>
    </r>
    <r>
      <rPr>
        <sz val="10"/>
        <rFont val="Arial"/>
        <family val="0"/>
        <charset val="1"/>
      </rPr>
      <t xml:space="preserve">5% </t>
    </r>
    <r>
      <rPr>
        <sz val="10"/>
        <rFont val="DejaVu Sans"/>
        <family val="2"/>
      </rPr>
      <t xml:space="preserve">時 </t>
    </r>
    <r>
      <rPr>
        <sz val="10"/>
        <rFont val="Arial"/>
        <family val="0"/>
        <charset val="1"/>
      </rPr>
      <t xml:space="preserve">rebalance</t>
    </r>
  </si>
  <si>
    <r>
      <rPr>
        <sz val="10"/>
        <rFont val="Arial"/>
        <family val="0"/>
        <charset val="1"/>
      </rPr>
      <t xml:space="preserve">3. Rebalance </t>
    </r>
    <r>
      <rPr>
        <sz val="10"/>
        <rFont val="DejaVu Sans"/>
        <family val="2"/>
      </rPr>
      <t xml:space="preserve">方法：新資金優先買入 </t>
    </r>
    <r>
      <rPr>
        <sz val="10"/>
        <rFont val="Arial"/>
        <family val="0"/>
        <charset val="1"/>
      </rPr>
      <t xml:space="preserve">underweight </t>
    </r>
    <r>
      <rPr>
        <sz val="10"/>
        <rFont val="DejaVu Sans"/>
        <family val="2"/>
      </rPr>
      <t xml:space="preserve">類別（避免賣出的稅務成本）</t>
    </r>
  </si>
  <si>
    <r>
      <rPr>
        <sz val="10"/>
        <rFont val="Arial"/>
        <family val="0"/>
        <charset val="1"/>
      </rPr>
      <t xml:space="preserve">4. </t>
    </r>
    <r>
      <rPr>
        <sz val="10"/>
        <rFont val="DejaVu Sans"/>
        <family val="2"/>
      </rPr>
      <t xml:space="preserve">避免頻繁 </t>
    </r>
    <r>
      <rPr>
        <sz val="10"/>
        <rFont val="Arial"/>
        <family val="0"/>
        <charset val="1"/>
      </rPr>
      <t xml:space="preserve">rebalance</t>
    </r>
    <r>
      <rPr>
        <sz val="10"/>
        <rFont val="DejaVu Sans"/>
        <family val="2"/>
      </rPr>
      <t xml:space="preserve">（每年最多 </t>
    </r>
    <r>
      <rPr>
        <sz val="10"/>
        <rFont val="Arial"/>
        <family val="0"/>
        <charset val="1"/>
      </rPr>
      <t xml:space="preserve">2-3 </t>
    </r>
    <r>
      <rPr>
        <sz val="10"/>
        <rFont val="DejaVu Sans"/>
        <family val="2"/>
      </rPr>
      <t xml:space="preserve">次）</t>
    </r>
  </si>
  <si>
    <r>
      <rPr>
        <sz val="10"/>
        <rFont val="Arial"/>
        <family val="0"/>
        <charset val="1"/>
      </rPr>
      <t xml:space="preserve">5. </t>
    </r>
    <r>
      <rPr>
        <sz val="10"/>
        <rFont val="DejaVu Sans"/>
        <family val="2"/>
      </rPr>
      <t xml:space="preserve">大跌時（</t>
    </r>
    <r>
      <rPr>
        <sz val="10"/>
        <rFont val="Arial"/>
        <family val="0"/>
        <charset val="1"/>
      </rPr>
      <t xml:space="preserve">-15% </t>
    </r>
    <r>
      <rPr>
        <sz val="10"/>
        <rFont val="DejaVu Sans"/>
        <family val="2"/>
      </rPr>
      <t xml:space="preserve">以上）加碼股票類，不要恐慌出場</t>
    </r>
  </si>
  <si>
    <t xml:space="preserve">四軌策略進度追蹤</t>
  </si>
  <si>
    <t xml:space="preserve">每季更新一次，追蹤各軌道的關鍵指標進度</t>
  </si>
  <si>
    <t xml:space="preserve">軌道</t>
  </si>
  <si>
    <t xml:space="preserve">指標</t>
  </si>
  <si>
    <t xml:space="preserve">當前值</t>
  </si>
  <si>
    <t xml:space="preserve">年底目標</t>
  </si>
  <si>
    <r>
      <rPr>
        <b val="true"/>
        <sz val="11"/>
        <color rgb="FFFFFFFF"/>
        <rFont val="Arial"/>
        <family val="0"/>
        <charset val="1"/>
      </rPr>
      <t xml:space="preserve">3 </t>
    </r>
    <r>
      <rPr>
        <b val="true"/>
        <sz val="11"/>
        <color rgb="FFFFFFFF"/>
        <rFont val="DejaVu Sans"/>
        <family val="2"/>
      </rPr>
      <t xml:space="preserve">年目標</t>
    </r>
  </si>
  <si>
    <t xml:space="preserve">進度</t>
  </si>
  <si>
    <r>
      <rPr>
        <b val="true"/>
        <sz val="11"/>
        <rFont val="DejaVu Sans"/>
        <family val="2"/>
      </rPr>
      <t xml:space="preserve">軌道 </t>
    </r>
    <r>
      <rPr>
        <b val="true"/>
        <sz val="11"/>
        <rFont val="Arial"/>
        <family val="0"/>
        <charset val="1"/>
      </rPr>
      <t xml:space="preserve">1: W2 </t>
    </r>
    <r>
      <rPr>
        <b val="true"/>
        <sz val="11"/>
        <rFont val="DejaVu Sans"/>
        <family val="2"/>
      </rPr>
      <t xml:space="preserve">職涯</t>
    </r>
  </si>
  <si>
    <r>
      <rPr>
        <sz val="11"/>
        <color theme="1"/>
        <rFont val="DejaVu Sans"/>
        <family val="2"/>
      </rPr>
      <t xml:space="preserve">年薪 </t>
    </r>
    <r>
      <rPr>
        <sz val="11"/>
        <color theme="1"/>
        <rFont val="Calibri"/>
        <family val="2"/>
        <charset val="1"/>
      </rPr>
      <t xml:space="preserve">(SGD total comp)</t>
    </r>
  </si>
  <si>
    <r>
      <rPr>
        <sz val="11"/>
        <color theme="1"/>
        <rFont val="DejaVu Sans"/>
        <family val="2"/>
      </rPr>
      <t xml:space="preserve">職級 </t>
    </r>
    <r>
      <rPr>
        <sz val="11"/>
        <color theme="1"/>
        <rFont val="Calibri"/>
        <family val="2"/>
        <charset val="1"/>
      </rPr>
      <t xml:space="preserve">(0=</t>
    </r>
    <r>
      <rPr>
        <sz val="11"/>
        <color theme="1"/>
        <rFont val="DejaVu Sans"/>
        <family val="2"/>
      </rPr>
      <t xml:space="preserve">入職</t>
    </r>
    <r>
      <rPr>
        <sz val="11"/>
        <color theme="1"/>
        <rFont val="Calibri"/>
        <family val="2"/>
        <charset val="1"/>
      </rPr>
      <t xml:space="preserve">, 1=Senior, 2=Staff)</t>
    </r>
  </si>
  <si>
    <t xml:space="preserve">Performance Rating</t>
  </si>
  <si>
    <r>
      <rPr>
        <sz val="11"/>
        <color theme="1"/>
        <rFont val="Calibri"/>
        <family val="2"/>
        <charset val="1"/>
      </rPr>
      <t xml:space="preserve">Technical Talks (</t>
    </r>
    <r>
      <rPr>
        <sz val="11"/>
        <color theme="1"/>
        <rFont val="DejaVu Sans"/>
        <family val="2"/>
      </rPr>
      <t xml:space="preserve">每季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</si>
  <si>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Network contacts (</t>
    </r>
    <r>
      <rPr>
        <sz val="11"/>
        <color theme="1"/>
        <rFont val="DejaVu Sans"/>
        <family val="2"/>
      </rPr>
      <t xml:space="preserve">累積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</si>
  <si>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DejaVu Sans"/>
        <family val="2"/>
      </rPr>
      <t xml:space="preserve">軌道 </t>
    </r>
    <r>
      <rPr>
        <b val="true"/>
        <sz val="11"/>
        <rFont val="Arial"/>
        <family val="0"/>
        <charset val="1"/>
      </rPr>
      <t xml:space="preserve">2: Side Project</t>
    </r>
  </si>
  <si>
    <t xml:space="preserve">ai_daily_digest MRR (USD)</t>
  </si>
  <si>
    <t xml:space="preserve">付費用戶數</t>
  </si>
  <si>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DejaVu Sans"/>
        <family val="2"/>
      </rPr>
      <t xml:space="preserve">追蹤者</t>
    </r>
  </si>
  <si>
    <r>
      <rPr>
        <sz val="11"/>
        <color theme="1"/>
        <rFont val="Calibri"/>
        <family val="2"/>
        <charset val="1"/>
      </rPr>
      <t xml:space="preserve">Technical Articles </t>
    </r>
    <r>
      <rPr>
        <sz val="11"/>
        <color theme="1"/>
        <rFont val="DejaVu Sans"/>
        <family val="2"/>
      </rPr>
      <t xml:space="preserve">發表數</t>
    </r>
  </si>
  <si>
    <r>
      <rPr>
        <sz val="11"/>
        <color theme="1"/>
        <rFont val="Calibri"/>
        <family val="2"/>
        <charset val="1"/>
      </rPr>
      <t xml:space="preserve">GitHub Stars </t>
    </r>
    <r>
      <rPr>
        <sz val="11"/>
        <color theme="1"/>
        <rFont val="DejaVu Sans"/>
        <family val="2"/>
      </rPr>
      <t xml:space="preserve">累積</t>
    </r>
  </si>
  <si>
    <r>
      <rPr>
        <b val="true"/>
        <sz val="11"/>
        <rFont val="DejaVu Sans"/>
        <family val="2"/>
      </rPr>
      <t xml:space="preserve">軌道 </t>
    </r>
    <r>
      <rPr>
        <b val="true"/>
        <sz val="11"/>
        <rFont val="Arial"/>
        <family val="0"/>
        <charset val="1"/>
      </rPr>
      <t xml:space="preserve">3: </t>
    </r>
    <r>
      <rPr>
        <b val="true"/>
        <sz val="11"/>
        <rFont val="DejaVu Sans"/>
        <family val="2"/>
      </rPr>
      <t xml:space="preserve">諮詢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DejaVu Sans"/>
        <family val="2"/>
      </rPr>
      <t xml:space="preserve">教學</t>
    </r>
  </si>
  <si>
    <r>
      <rPr>
        <sz val="11"/>
        <color theme="1"/>
        <rFont val="DejaVu Sans"/>
        <family val="2"/>
      </rPr>
      <t xml:space="preserve">累積諮詢收入 </t>
    </r>
    <r>
      <rPr>
        <sz val="11"/>
        <color theme="1"/>
        <rFont val="Calibri"/>
        <family val="2"/>
        <charset val="1"/>
      </rPr>
      <t xml:space="preserve">(USD)</t>
    </r>
  </si>
  <si>
    <r>
      <rPr>
        <sz val="11"/>
        <color theme="1"/>
        <rFont val="Calibri"/>
        <family val="2"/>
        <charset val="1"/>
      </rPr>
      <t xml:space="preserve">Course </t>
    </r>
    <r>
      <rPr>
        <sz val="11"/>
        <color theme="1"/>
        <rFont val="DejaVu Sans"/>
        <family val="2"/>
      </rPr>
      <t xml:space="preserve">學員數</t>
    </r>
  </si>
  <si>
    <t xml:space="preserve">企業內訓場次</t>
  </si>
  <si>
    <r>
      <rPr>
        <sz val="11"/>
        <color theme="1"/>
        <rFont val="Calibri"/>
        <family val="2"/>
        <charset val="1"/>
      </rPr>
      <t xml:space="preserve">Advisor </t>
    </r>
    <r>
      <rPr>
        <sz val="11"/>
        <color theme="1"/>
        <rFont val="DejaVu Sans"/>
        <family val="2"/>
      </rPr>
      <t xml:space="preserve">職位數</t>
    </r>
  </si>
  <si>
    <r>
      <rPr>
        <b val="true"/>
        <sz val="11"/>
        <rFont val="DejaVu Sans"/>
        <family val="2"/>
      </rPr>
      <t xml:space="preserve">軌道 </t>
    </r>
    <r>
      <rPr>
        <b val="true"/>
        <sz val="11"/>
        <rFont val="Arial"/>
        <family val="0"/>
        <charset val="1"/>
      </rPr>
      <t xml:space="preserve">4: </t>
    </r>
    <r>
      <rPr>
        <b val="true"/>
        <sz val="11"/>
        <rFont val="DejaVu Sans"/>
        <family val="2"/>
      </rPr>
      <t xml:space="preserve">投資</t>
    </r>
  </si>
  <si>
    <r>
      <rPr>
        <sz val="11"/>
        <color theme="1"/>
        <rFont val="DejaVu Sans"/>
        <family val="2"/>
      </rPr>
      <t xml:space="preserve">月定額 </t>
    </r>
    <r>
      <rPr>
        <sz val="11"/>
        <color theme="1"/>
        <rFont val="Calibri"/>
        <family val="2"/>
        <charset val="1"/>
      </rPr>
      <t xml:space="preserve">(SGD)</t>
    </r>
  </si>
  <si>
    <r>
      <rPr>
        <sz val="11"/>
        <color theme="1"/>
        <rFont val="DejaVu Sans"/>
        <family val="2"/>
      </rPr>
      <t xml:space="preserve">投資組合總值 </t>
    </r>
    <r>
      <rPr>
        <sz val="11"/>
        <color theme="1"/>
        <rFont val="Calibri"/>
        <family val="2"/>
        <charset val="1"/>
      </rPr>
      <t xml:space="preserve">(SGD)</t>
    </r>
  </si>
  <si>
    <t xml:space="preserve">年化報酬率</t>
  </si>
  <si>
    <r>
      <rPr>
        <sz val="11"/>
        <color theme="1"/>
        <rFont val="DejaVu Sans"/>
        <family val="2"/>
      </rPr>
      <t xml:space="preserve">股息被動收入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SGD)</t>
    </r>
  </si>
  <si>
    <r>
      <rPr>
        <b val="true"/>
        <sz val="16"/>
        <color rgb="FF2E75B6"/>
        <rFont val="DejaVu Sans"/>
        <family val="2"/>
      </rPr>
      <t xml:space="preserve">家庭 </t>
    </r>
    <r>
      <rPr>
        <b val="true"/>
        <sz val="16"/>
        <color rgb="FF2E75B6"/>
        <rFont val="Arial"/>
        <family val="0"/>
        <charset val="1"/>
      </rPr>
      <t xml:space="preserve">Milestone </t>
    </r>
    <r>
      <rPr>
        <b val="true"/>
        <sz val="16"/>
        <color rgb="FF2E75B6"/>
        <rFont val="DejaVu Sans"/>
        <family val="2"/>
      </rPr>
      <t xml:space="preserve">與倒數計時</t>
    </r>
  </si>
  <si>
    <t xml:space="preserve">備註</t>
  </si>
  <si>
    <t xml:space="preserve">距離今天（天）</t>
  </si>
  <si>
    <r>
      <rPr>
        <b val="true"/>
        <sz val="11"/>
        <color rgb="FFFFFFFF"/>
        <rFont val="DejaVu Sans"/>
        <family val="2"/>
      </rPr>
      <t xml:space="preserve">目前儲蓄 </t>
    </r>
    <r>
      <rPr>
        <b val="true"/>
        <sz val="11"/>
        <color rgb="FFFFFFFF"/>
        <rFont val="Arial"/>
        <family val="0"/>
        <charset val="1"/>
      </rPr>
      <t xml:space="preserve">(SGD)</t>
    </r>
  </si>
  <si>
    <r>
      <rPr>
        <sz val="10"/>
        <rFont val="DejaVu Sans"/>
        <family val="2"/>
      </rPr>
      <t xml:space="preserve">預算含婚禮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蜜月</t>
    </r>
  </si>
  <si>
    <r>
      <rPr>
        <sz val="10"/>
        <rFont val="Arial"/>
        <family val="0"/>
        <charset val="1"/>
      </rPr>
      <t xml:space="preserve">HDB Resale </t>
    </r>
    <r>
      <rPr>
        <sz val="10"/>
        <rFont val="DejaVu Sans"/>
        <family val="2"/>
      </rPr>
      <t xml:space="preserve">或 </t>
    </r>
    <r>
      <rPr>
        <sz val="10"/>
        <rFont val="Arial"/>
        <family val="0"/>
        <charset val="1"/>
      </rPr>
      <t xml:space="preserve">Condo </t>
    </r>
    <r>
      <rPr>
        <sz val="10"/>
        <rFont val="DejaVu Sans"/>
        <family val="2"/>
      </rPr>
      <t xml:space="preserve">頭期 </t>
    </r>
    <r>
      <rPr>
        <sz val="10"/>
        <rFont val="Arial"/>
        <family val="0"/>
        <charset val="1"/>
      </rPr>
      <t xml:space="preserve">25-30%</t>
    </r>
  </si>
  <si>
    <r>
      <rPr>
        <sz val="10"/>
        <rFont val="DejaVu Sans"/>
        <family val="2"/>
      </rPr>
      <t xml:space="preserve">出生費用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第一年育兒用品</t>
    </r>
  </si>
  <si>
    <t xml:space="preserve">緊急備用金完成</t>
  </si>
  <si>
    <r>
      <rPr>
        <sz val="10"/>
        <rFont val="Arial"/>
        <family val="0"/>
        <charset val="1"/>
      </rPr>
      <t xml:space="preserve">12 </t>
    </r>
    <r>
      <rPr>
        <sz val="10"/>
        <rFont val="DejaVu Sans"/>
        <family val="2"/>
      </rPr>
      <t xml:space="preserve">個月家庭開銷</t>
    </r>
  </si>
  <si>
    <t xml:space="preserve">孩子教育金啟動</t>
  </si>
  <si>
    <r>
      <rPr>
        <sz val="10"/>
        <rFont val="DejaVu Sans"/>
        <family val="2"/>
      </rPr>
      <t xml:space="preserve">每月定額 </t>
    </r>
    <r>
      <rPr>
        <sz val="10"/>
        <rFont val="Arial"/>
        <family val="0"/>
        <charset val="1"/>
      </rPr>
      <t xml:space="preserve">S$800 </t>
    </r>
    <r>
      <rPr>
        <sz val="10"/>
        <rFont val="DejaVu Sans"/>
        <family val="2"/>
      </rPr>
      <t xml:space="preserve">投入</t>
    </r>
  </si>
  <si>
    <r>
      <rPr>
        <i val="true"/>
        <sz val="10"/>
        <color rgb="FFC00000"/>
        <rFont val="DejaVu Sans"/>
        <family val="2"/>
      </rPr>
      <t xml:space="preserve">提示：當「距離今天」小於 </t>
    </r>
    <r>
      <rPr>
        <i val="true"/>
        <sz val="10"/>
        <color rgb="FFC00000"/>
        <rFont val="Arial"/>
        <family val="0"/>
        <charset val="1"/>
      </rPr>
      <t xml:space="preserve">180 </t>
    </r>
    <r>
      <rPr>
        <i val="true"/>
        <sz val="10"/>
        <color rgb="FFC00000"/>
        <rFont val="DejaVu Sans"/>
        <family val="2"/>
      </rPr>
      <t xml:space="preserve">天時要加緊儲蓄</t>
    </r>
  </si>
  <si>
    <t xml:space="preserve">保險覆蓋檢查清單</t>
  </si>
  <si>
    <r>
      <rPr>
        <i val="true"/>
        <sz val="10"/>
        <color rgb="FF595959"/>
        <rFont val="DejaVu Sans"/>
        <family val="2"/>
      </rPr>
      <t xml:space="preserve">原則：買保障不買儲蓄險；總保費控制在家庭收入 </t>
    </r>
    <r>
      <rPr>
        <i val="true"/>
        <sz val="10"/>
        <color rgb="FF595959"/>
        <rFont val="Arial"/>
        <family val="0"/>
        <charset val="1"/>
      </rPr>
      <t xml:space="preserve">8-12%</t>
    </r>
  </si>
  <si>
    <t xml:space="preserve">保險類型</t>
  </si>
  <si>
    <t xml:space="preserve">建議保額</t>
  </si>
  <si>
    <r>
      <rPr>
        <b val="true"/>
        <sz val="11"/>
        <color rgb="FFFFFFFF"/>
        <rFont val="DejaVu Sans"/>
        <family val="2"/>
      </rPr>
      <t xml:space="preserve">年保費 </t>
    </r>
    <r>
      <rPr>
        <b val="true"/>
        <sz val="11"/>
        <color rgb="FFFFFFFF"/>
        <rFont val="Arial"/>
        <family val="0"/>
        <charset val="1"/>
      </rPr>
      <t xml:space="preserve">(SGD)</t>
    </r>
  </si>
  <si>
    <t xml:space="preserve">供應商</t>
  </si>
  <si>
    <t xml:space="preserve">已投保</t>
  </si>
  <si>
    <t xml:space="preserve">到期日</t>
  </si>
  <si>
    <r>
      <rPr>
        <sz val="11"/>
        <color theme="1"/>
        <rFont val="DejaVu Sans"/>
        <family val="2"/>
      </rPr>
      <t xml:space="preserve">定期壽險 </t>
    </r>
    <r>
      <rPr>
        <sz val="11"/>
        <color theme="1"/>
        <rFont val="Calibri"/>
        <family val="2"/>
        <charset val="1"/>
      </rPr>
      <t xml:space="preserve">(Term Life)</t>
    </r>
  </si>
  <si>
    <r>
      <rPr>
        <sz val="11"/>
        <color theme="1"/>
        <rFont val="DejaVu Sans"/>
        <family val="2"/>
      </rPr>
      <t xml:space="preserve">年收入 </t>
    </r>
    <r>
      <rPr>
        <sz val="11"/>
        <color theme="1"/>
        <rFont val="Calibri"/>
        <family val="2"/>
        <charset val="1"/>
      </rPr>
      <t xml:space="preserve">10-15 </t>
    </r>
    <r>
      <rPr>
        <sz val="11"/>
        <color theme="1"/>
        <rFont val="DejaVu Sans"/>
        <family val="2"/>
      </rPr>
      <t xml:space="preserve">倍</t>
    </r>
  </si>
  <si>
    <t xml:space="preserve">待報價</t>
  </si>
  <si>
    <t xml:space="preserve">AIA/NTUC/Great Eastern</t>
  </si>
  <si>
    <t xml:space="preserve">否</t>
  </si>
  <si>
    <t xml:space="preserve">重大疾病險</t>
  </si>
  <si>
    <t xml:space="preserve">S$300-500k</t>
  </si>
  <si>
    <t xml:space="preserve">AIA/Prudential</t>
  </si>
  <si>
    <t xml:space="preserve">收入保障險</t>
  </si>
  <si>
    <r>
      <rPr>
        <sz val="11"/>
        <color theme="1"/>
        <rFont val="DejaVu Sans"/>
        <family val="2"/>
      </rPr>
      <t xml:space="preserve">月收入 </t>
    </r>
    <r>
      <rPr>
        <sz val="11"/>
        <color theme="1"/>
        <rFont val="Calibri"/>
        <family val="2"/>
        <charset val="1"/>
      </rPr>
      <t xml:space="preserve">60-70%</t>
    </r>
  </si>
  <si>
    <t xml:space="preserve">Manulife/AIA</t>
  </si>
  <si>
    <t xml:space="preserve">Integrated Shield Plan</t>
  </si>
  <si>
    <r>
      <rPr>
        <sz val="11"/>
        <color theme="1"/>
        <rFont val="Calibri"/>
        <family val="2"/>
        <charset val="1"/>
      </rPr>
      <t xml:space="preserve">Private </t>
    </r>
    <r>
      <rPr>
        <sz val="11"/>
        <color theme="1"/>
        <rFont val="DejaVu Sans"/>
        <family val="2"/>
      </rPr>
      <t xml:space="preserve">私立醫院</t>
    </r>
  </si>
  <si>
    <r>
      <rPr>
        <sz val="11"/>
        <color rgb="FF0000FF"/>
        <rFont val="DejaVu Sans"/>
        <family val="2"/>
      </rPr>
      <t xml:space="preserve">約 </t>
    </r>
    <r>
      <rPr>
        <sz val="11"/>
        <color rgb="FF0000FF"/>
        <rFont val="Arial"/>
        <family val="0"/>
        <charset val="1"/>
      </rPr>
      <t xml:space="preserve">S$500-1500</t>
    </r>
  </si>
  <si>
    <r>
      <rPr>
        <sz val="11"/>
        <color theme="1"/>
        <rFont val="DejaVu Sans"/>
        <family val="2"/>
      </rPr>
      <t xml:space="preserve">旅遊險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年約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</si>
  <si>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含醫療 </t>
    </r>
    <r>
      <rPr>
        <sz val="11"/>
        <color theme="1"/>
        <rFont val="Calibri"/>
        <family val="2"/>
        <charset val="1"/>
      </rPr>
      <t xml:space="preserve">S$200k+</t>
    </r>
  </si>
  <si>
    <r>
      <rPr>
        <sz val="11"/>
        <color rgb="FF0000FF"/>
        <rFont val="DejaVu Sans"/>
        <family val="2"/>
      </rPr>
      <t xml:space="preserve">約 </t>
    </r>
    <r>
      <rPr>
        <sz val="11"/>
        <color rgb="FF0000FF"/>
        <rFont val="Arial"/>
        <family val="0"/>
        <charset val="1"/>
      </rPr>
      <t xml:space="preserve">S$300-500</t>
    </r>
  </si>
  <si>
    <t xml:space="preserve">NTUC/MSIG</t>
  </si>
  <si>
    <t xml:space="preserve">CPF MediShield Life</t>
  </si>
  <si>
    <t xml:space="preserve">基本</t>
  </si>
  <si>
    <r>
      <rPr>
        <sz val="11"/>
        <color rgb="FF0000FF"/>
        <rFont val="Arial"/>
        <family val="0"/>
        <charset val="1"/>
      </rPr>
      <t xml:space="preserve">CPF </t>
    </r>
    <r>
      <rPr>
        <sz val="11"/>
        <color rgb="FF0000FF"/>
        <rFont val="DejaVu Sans"/>
        <family val="2"/>
      </rPr>
      <t xml:space="preserve">自動扣</t>
    </r>
  </si>
  <si>
    <t xml:space="preserve">政府</t>
  </si>
  <si>
    <t xml:space="preserve">是</t>
  </si>
  <si>
    <t xml:space="preserve">終生</t>
  </si>
  <si>
    <r>
      <rPr>
        <b val="true"/>
        <sz val="16"/>
        <color rgb="FF2E75B6"/>
        <rFont val="Arial"/>
        <family val="0"/>
        <charset val="1"/>
      </rPr>
      <t xml:space="preserve">10 </t>
    </r>
    <r>
      <rPr>
        <b val="true"/>
        <sz val="16"/>
        <color rgb="FF2E75B6"/>
        <rFont val="DejaVu Sans"/>
        <family val="2"/>
      </rPr>
      <t xml:space="preserve">年淨值預估 </t>
    </r>
    <r>
      <rPr>
        <b val="true"/>
        <sz val="16"/>
        <color rgb="FF2E75B6"/>
        <rFont val="Arial"/>
        <family val="0"/>
        <charset val="1"/>
      </rPr>
      <t xml:space="preserve">(</t>
    </r>
    <r>
      <rPr>
        <b val="true"/>
        <sz val="16"/>
        <color rgb="FF2E75B6"/>
        <rFont val="DejaVu Sans"/>
        <family val="2"/>
      </rPr>
      <t xml:space="preserve">三情境</t>
    </r>
    <r>
      <rPr>
        <b val="true"/>
        <sz val="16"/>
        <color rgb="FF2E75B6"/>
        <rFont val="Arial"/>
        <family val="0"/>
        <charset val="1"/>
      </rPr>
      <t xml:space="preserve">)</t>
    </r>
  </si>
  <si>
    <r>
      <rPr>
        <i val="true"/>
        <sz val="10"/>
        <color rgb="FF595959"/>
        <rFont val="DejaVu Sans"/>
        <family val="2"/>
      </rPr>
      <t xml:space="preserve">假設值可在 </t>
    </r>
    <r>
      <rPr>
        <i val="true"/>
        <sz val="10"/>
        <color rgb="FF595959"/>
        <rFont val="Arial"/>
        <family val="0"/>
        <charset val="1"/>
      </rPr>
      <t xml:space="preserve">Assumptions </t>
    </r>
    <r>
      <rPr>
        <i val="true"/>
        <sz val="10"/>
        <color rgb="FF595959"/>
        <rFont val="DejaVu Sans"/>
        <family val="2"/>
      </rPr>
      <t xml:space="preserve">工作表調整，此工作表自動計算</t>
    </r>
  </si>
  <si>
    <t xml:space="preserve">年份</t>
  </si>
  <si>
    <r>
      <rPr>
        <b val="true"/>
        <sz val="11"/>
        <color rgb="FFFFFFFF"/>
        <rFont val="DejaVu Sans"/>
        <family val="2"/>
      </rPr>
      <t xml:space="preserve">月定額投入 </t>
    </r>
    <r>
      <rPr>
        <b val="true"/>
        <sz val="11"/>
        <color rgb="FFFFFFFF"/>
        <rFont val="Arial"/>
        <family val="0"/>
        <charset val="1"/>
      </rPr>
      <t xml:space="preserve">(SGD)</t>
    </r>
  </si>
  <si>
    <r>
      <rPr>
        <b val="true"/>
        <sz val="11"/>
        <color rgb="FFFFFFFF"/>
        <rFont val="DejaVu Sans"/>
        <family val="2"/>
      </rPr>
      <t xml:space="preserve">保守情境淨值 </t>
    </r>
    <r>
      <rPr>
        <b val="true"/>
        <sz val="11"/>
        <color rgb="FFFFFFFF"/>
        <rFont val="Arial"/>
        <family val="0"/>
        <charset val="1"/>
      </rPr>
      <t xml:space="preserve">(7%)</t>
    </r>
  </si>
  <si>
    <r>
      <rPr>
        <b val="true"/>
        <sz val="11"/>
        <color rgb="FFFFFFFF"/>
        <rFont val="DejaVu Sans"/>
        <family val="2"/>
      </rPr>
      <t xml:space="preserve">基準情境淨值 </t>
    </r>
    <r>
      <rPr>
        <b val="true"/>
        <sz val="11"/>
        <color rgb="FFFFFFFF"/>
        <rFont val="Arial"/>
        <family val="0"/>
        <charset val="1"/>
      </rPr>
      <t xml:space="preserve">(8%)</t>
    </r>
  </si>
  <si>
    <r>
      <rPr>
        <b val="true"/>
        <sz val="11"/>
        <color rgb="FFFFFFFF"/>
        <rFont val="DejaVu Sans"/>
        <family val="2"/>
      </rPr>
      <t xml:space="preserve">樂觀情境淨值 </t>
    </r>
    <r>
      <rPr>
        <b val="true"/>
        <sz val="11"/>
        <color rgb="FFFFFFFF"/>
        <rFont val="Arial"/>
        <family val="0"/>
        <charset val="1"/>
      </rPr>
      <t xml:space="preserve">(9%)</t>
    </r>
  </si>
  <si>
    <r>
      <rPr>
        <b val="true"/>
        <sz val="11"/>
        <color rgb="FFFFFFFF"/>
        <rFont val="DejaVu Sans"/>
        <family val="2"/>
      </rPr>
      <t xml:space="preserve">家庭支出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估算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</si>
  <si>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距離目標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</si>
  <si>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</si>
  <si>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</si>
  <si>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</si>
  <si>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</si>
  <si>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</si>
  <si>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</si>
  <si>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</si>
  <si>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</si>
  <si>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</si>
  <si>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</si>
  <si>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</si>
  <si>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r>
      <rPr>
        <b val="true"/>
        <sz val="16"/>
        <color rgb="FF2E75B6"/>
        <rFont val="DejaVu Sans"/>
        <family val="2"/>
      </rPr>
      <t xml:space="preserve">核心假設 </t>
    </r>
    <r>
      <rPr>
        <b val="true"/>
        <sz val="16"/>
        <color rgb="FF2E75B6"/>
        <rFont val="Arial"/>
        <family val="0"/>
        <charset val="1"/>
      </rPr>
      <t xml:space="preserve">(</t>
    </r>
    <r>
      <rPr>
        <b val="true"/>
        <sz val="16"/>
        <color rgb="FF2E75B6"/>
        <rFont val="DejaVu Sans"/>
        <family val="2"/>
      </rPr>
      <t xml:space="preserve">所有預估基於這些輸入</t>
    </r>
    <r>
      <rPr>
        <b val="true"/>
        <sz val="16"/>
        <color rgb="FF2E75B6"/>
        <rFont val="Arial"/>
        <family val="0"/>
        <charset val="1"/>
      </rPr>
      <t xml:space="preserve">)</t>
    </r>
  </si>
  <si>
    <t xml:space="preserve">藍色欄位為輸入，調整這裡的值會更新所有工作表的計算</t>
  </si>
  <si>
    <t xml:space="preserve">起始資產</t>
  </si>
  <si>
    <r>
      <rPr>
        <i val="true"/>
        <sz val="10"/>
        <color rgb="FF595959"/>
        <rFont val="DejaVu Sans"/>
        <family val="2"/>
      </rPr>
      <t xml:space="preserve">目前流動資產 </t>
    </r>
    <r>
      <rPr>
        <i val="true"/>
        <sz val="10"/>
        <color rgb="FF595959"/>
        <rFont val="Arial"/>
        <family val="0"/>
        <charset val="1"/>
      </rPr>
      <t xml:space="preserve">+ </t>
    </r>
    <r>
      <rPr>
        <i val="true"/>
        <sz val="10"/>
        <color rgb="FF595959"/>
        <rFont val="DejaVu Sans"/>
        <family val="2"/>
      </rPr>
      <t xml:space="preserve">投資</t>
    </r>
  </si>
  <si>
    <t xml:space="preserve">首年月定額投入</t>
  </si>
  <si>
    <r>
      <rPr>
        <i val="true"/>
        <sz val="10"/>
        <color rgb="FF595959"/>
        <rFont val="Arial"/>
        <family val="0"/>
        <charset val="1"/>
      </rPr>
      <t xml:space="preserve">SGD/</t>
    </r>
    <r>
      <rPr>
        <i val="true"/>
        <sz val="10"/>
        <color rgb="FF595959"/>
        <rFont val="DejaVu Sans"/>
        <family val="2"/>
      </rPr>
      <t xml:space="preserve">月</t>
    </r>
  </si>
  <si>
    <t xml:space="preserve">月定額年增長率</t>
  </si>
  <si>
    <t xml:space="preserve">薪水增加後月定額也增加</t>
  </si>
  <si>
    <t xml:space="preserve">保守情境年化報酬</t>
  </si>
  <si>
    <r>
      <rPr>
        <i val="true"/>
        <sz val="10"/>
        <color rgb="FF595959"/>
        <rFont val="DejaVu Sans"/>
        <family val="2"/>
      </rPr>
      <t xml:space="preserve">債券多、全市場 </t>
    </r>
    <r>
      <rPr>
        <i val="true"/>
        <sz val="10"/>
        <color rgb="FF595959"/>
        <rFont val="Arial"/>
        <family val="0"/>
        <charset val="1"/>
      </rPr>
      <t xml:space="preserve">ETF</t>
    </r>
  </si>
  <si>
    <t xml:space="preserve">基準情境年化報酬</t>
  </si>
  <si>
    <r>
      <rPr>
        <i val="true"/>
        <sz val="10"/>
        <color rgb="FF595959"/>
        <rFont val="DejaVu Sans"/>
        <family val="2"/>
      </rPr>
      <t xml:space="preserve">標準 </t>
    </r>
    <r>
      <rPr>
        <i val="true"/>
        <sz val="10"/>
        <color rgb="FF595959"/>
        <rFont val="Arial"/>
        <family val="0"/>
        <charset val="1"/>
      </rPr>
      <t xml:space="preserve">60/40</t>
    </r>
  </si>
  <si>
    <t xml:space="preserve">樂觀情境年化報酬</t>
  </si>
  <si>
    <t xml:space="preserve">股票多一點</t>
  </si>
  <si>
    <t xml:space="preserve">首年家庭月開銷</t>
  </si>
  <si>
    <r>
      <rPr>
        <b val="true"/>
        <sz val="11"/>
        <rFont val="DejaVu Sans"/>
        <family val="2"/>
      </rPr>
      <t xml:space="preserve">通膨率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支出增長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</si>
  <si>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0"/>
        <color rgb="FF595959"/>
        <rFont val="Arial"/>
        <family val="0"/>
        <charset val="1"/>
      </rPr>
      <t xml:space="preserve">SG </t>
    </r>
    <r>
      <rPr>
        <i val="true"/>
        <sz val="10"/>
        <color rgb="FF595959"/>
        <rFont val="DejaVu Sans"/>
        <family val="2"/>
      </rPr>
      <t xml:space="preserve">歷史平均 </t>
    </r>
    <r>
      <rPr>
        <i val="true"/>
        <sz val="10"/>
        <color rgb="FF595959"/>
        <rFont val="Arial"/>
        <family val="0"/>
        <charset val="1"/>
      </rPr>
      <t xml:space="preserve">2-3%</t>
    </r>
    <r>
      <rPr>
        <i val="true"/>
        <sz val="10"/>
        <color rgb="FF595959"/>
        <rFont val="DejaVu Sans"/>
        <family val="2"/>
      </rPr>
      <t xml:space="preserve">，保守用 </t>
    </r>
    <r>
      <rPr>
        <i val="true"/>
        <sz val="10"/>
        <color rgb="FF595959"/>
        <rFont val="Arial"/>
        <family val="0"/>
        <charset val="1"/>
      </rPr>
      <t xml:space="preserve">3.5%</t>
    </r>
  </si>
  <si>
    <t xml:space="preserve">財務目標</t>
  </si>
  <si>
    <t xml:space="preserve">緊急備用金目標</t>
  </si>
  <si>
    <r>
      <rPr>
        <i val="true"/>
        <sz val="10"/>
        <color rgb="FF595959"/>
        <rFont val="Arial"/>
        <family val="0"/>
        <charset val="1"/>
      </rPr>
      <t xml:space="preserve">12 </t>
    </r>
    <r>
      <rPr>
        <i val="true"/>
        <sz val="10"/>
        <color rgb="FF595959"/>
        <rFont val="DejaVu Sans"/>
        <family val="2"/>
      </rPr>
      <t xml:space="preserve">個月家庭開銷</t>
    </r>
  </si>
  <si>
    <t xml:space="preserve">第一個里程碑（財務獨立）</t>
  </si>
  <si>
    <r>
      <rPr>
        <i val="true"/>
        <sz val="10"/>
        <color rgb="FF595959"/>
        <rFont val="Arial"/>
        <family val="0"/>
        <charset val="1"/>
      </rPr>
      <t xml:space="preserve">5 </t>
    </r>
    <r>
      <rPr>
        <i val="true"/>
        <sz val="10"/>
        <color rgb="FF595959"/>
        <rFont val="DejaVu Sans"/>
        <family val="2"/>
      </rPr>
      <t xml:space="preserve">年目標</t>
    </r>
  </si>
  <si>
    <t xml:space="preserve">舒適獨立目標</t>
  </si>
  <si>
    <r>
      <rPr>
        <i val="true"/>
        <sz val="10"/>
        <color rgb="FF595959"/>
        <rFont val="Arial"/>
        <family val="0"/>
        <charset val="1"/>
      </rPr>
      <t xml:space="preserve">7 </t>
    </r>
    <r>
      <rPr>
        <i val="true"/>
        <sz val="10"/>
        <color rgb="FF595959"/>
        <rFont val="DejaVu Sans"/>
        <family val="2"/>
      </rPr>
      <t xml:space="preserve">年目標</t>
    </r>
  </si>
  <si>
    <t xml:space="preserve">完全自由目標</t>
  </si>
  <si>
    <r>
      <rPr>
        <i val="true"/>
        <sz val="10"/>
        <color rgb="FF595959"/>
        <rFont val="Arial"/>
        <family val="0"/>
        <charset val="1"/>
      </rPr>
      <t xml:space="preserve">10 </t>
    </r>
    <r>
      <rPr>
        <i val="true"/>
        <sz val="10"/>
        <color rgb="FF595959"/>
        <rFont val="DejaVu Sans"/>
        <family val="2"/>
      </rPr>
      <t xml:space="preserve">年目標</t>
    </r>
  </si>
  <si>
    <r>
      <rPr>
        <b val="true"/>
        <sz val="11"/>
        <rFont val="DejaVu Sans"/>
        <family val="2"/>
      </rPr>
      <t xml:space="preserve">安全提領率 </t>
    </r>
    <r>
      <rPr>
        <b val="true"/>
        <sz val="11"/>
        <rFont val="Arial"/>
        <family val="0"/>
        <charset val="1"/>
      </rPr>
      <t xml:space="preserve">(SWR)</t>
    </r>
  </si>
  <si>
    <r>
      <rPr>
        <i val="true"/>
        <sz val="10"/>
        <color rgb="FF595959"/>
        <rFont val="DejaVu Sans"/>
        <family val="2"/>
      </rPr>
      <t xml:space="preserve">傳統 </t>
    </r>
    <r>
      <rPr>
        <i val="true"/>
        <sz val="10"/>
        <color rgb="FF595959"/>
        <rFont val="Arial"/>
        <family val="0"/>
        <charset val="1"/>
      </rPr>
      <t xml:space="preserve">4% </t>
    </r>
    <r>
      <rPr>
        <i val="true"/>
        <sz val="10"/>
        <color rgb="FF595959"/>
        <rFont val="DejaVu Sans"/>
        <family val="2"/>
      </rPr>
      <t xml:space="preserve">規則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</si>
</sst>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S$&quot;#,##0;&quot;(S$&quot;#,##0\);\-"/>
    <numFmt numFmtId="166" formatCode="0.0%;\(0.0%\);\-"/>
    <numFmt numFmtId="167" formatCode="yyyy\-mm\-dd"/>
    <numFmt numFmtId="168" formatCode="#,##0;\(#,##0\);\-"/>
    <numFmt numFmtId="169" formatCode="yyyy\-mm"/>
    <numFmt numFmtId="170" formatCode="\$#,##0;&quot;($&quot;#,##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Arial"/>
      <family val="0"/>
      <charset val="1"/>
    </font>
    <font>
      <b val="true"/>
      <sz val="16"/>
      <color rgb="FF2E75B6"/>
      <name val="DejaVu Sans"/>
      <family val="2"/>
    </font>
    <font>
      <i val="true"/>
      <sz val="11"/>
      <color rgb="FF595959"/>
      <name val="Arial"/>
      <family val="0"/>
      <charset val="1"/>
    </font>
    <font>
      <i val="true"/>
      <sz val="11"/>
      <color rgb="FF595959"/>
      <name val="DejaVu Sans"/>
      <family val="2"/>
    </font>
    <font>
      <b val="true"/>
      <sz val="13"/>
      <color rgb="FF2E75B6"/>
      <name val="DejaVu Sans"/>
      <family val="2"/>
    </font>
    <font>
      <b val="true"/>
      <sz val="13"/>
      <color rgb="FF2E75B6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1"/>
      <color theme="1"/>
      <name val="DejaVu Sans"/>
      <family val="2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1"/>
      <name val="DejaVu Sans"/>
      <family val="2"/>
    </font>
    <font>
      <i val="true"/>
      <sz val="10"/>
      <color rgb="FF595959"/>
      <name val="DejaVu Sans"/>
      <family val="2"/>
    </font>
    <font>
      <i val="true"/>
      <sz val="10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DejaVu Sans"/>
      <family val="2"/>
    </font>
    <font>
      <sz val="11"/>
      <color rgb="FF000000"/>
      <name val="DejaVu Sans"/>
      <family val="2"/>
    </font>
    <font>
      <sz val="11"/>
      <color rgb="FF008000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i val="true"/>
      <sz val="10"/>
      <color rgb="FFC00000"/>
      <name val="DejaVu Sans"/>
      <family val="2"/>
    </font>
    <font>
      <i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D3E3B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4A5A4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BE4B4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10 年淨值軌跡 (三情境)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'10-Year Projection'!C4</c:f>
              <c:strCache>
                <c:ptCount val="1"/>
                <c:pt idx="0">
                  <c:v>保守情境淨值 (7%)</c:v>
                </c:pt>
              </c:strCache>
            </c:strRef>
          </c:tx>
          <c:spPr>
            <a:solidFill>
              <a:srgbClr val="9D3E3B"/>
            </a:solidFill>
            <a:ln w="1260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'10-Year Projection'!$A$5:$A$15</c:f>
              <c:strCach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strCache>
            </c:strRef>
          </c:cat>
          <c:val>
            <c:numRef>
              <c:f>'10-Year Projection'!$C$5:$C$15</c:f>
              <c:numCache>
                <c:formatCode>"S$"#,##0;"(S$"#,##0\);\-</c:formatCode>
                <c:ptCount val="11"/>
                <c:pt idx="0">
                  <c:v>86000</c:v>
                </c:pt>
                <c:pt idx="1">
                  <c:v>133420</c:v>
                </c:pt>
                <c:pt idx="2">
                  <c:v>190369.4</c:v>
                </c:pt>
                <c:pt idx="3">
                  <c:v>258446.758</c:v>
                </c:pt>
                <c:pt idx="4">
                  <c:v>339502.25606</c:v>
                </c:pt>
                <c:pt idx="5">
                  <c:v>435676.2727342</c:v>
                </c:pt>
                <c:pt idx="6">
                  <c:v>549443.799388094</c:v>
                </c:pt>
                <c:pt idx="7">
                  <c:v>683665.581042135</c:v>
                </c:pt>
                <c:pt idx="8">
                  <c:v>841646.994766491</c:v>
                </c:pt>
                <c:pt idx="9">
                  <c:v>1027205.83090926</c:v>
                </c:pt>
                <c:pt idx="10">
                  <c:v>1244750.3175584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'10-Year Projection'!D4</c:f>
              <c:strCache>
                <c:ptCount val="1"/>
                <c:pt idx="0">
                  <c:v>基準情境淨值 (8%)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'10-Year Projection'!$A$5:$A$15</c:f>
              <c:strCach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strCache>
            </c:strRef>
          </c:cat>
          <c:val>
            <c:numRef>
              <c:f>'10-Year Projection'!$D$5:$D$15</c:f>
              <c:numCache>
                <c:formatCode>"S$"#,##0;"(S$"#,##0\);\-</c:formatCode>
                <c:ptCount val="11"/>
                <c:pt idx="0">
                  <c:v>86000</c:v>
                </c:pt>
                <c:pt idx="1">
                  <c:v>134280</c:v>
                </c:pt>
                <c:pt idx="2">
                  <c:v>192632.4</c:v>
                </c:pt>
                <c:pt idx="3">
                  <c:v>262794.492</c:v>
                </c:pt>
                <c:pt idx="4">
                  <c:v>346782.27636</c:v>
                </c:pt>
                <c:pt idx="5">
                  <c:v>446933.7172188</c:v>
                </c:pt>
                <c:pt idx="6">
                  <c:v>565958.602158804</c:v>
                </c:pt>
                <c:pt idx="7">
                  <c:v>706996.006028383</c:v>
                </c:pt>
                <c:pt idx="8">
                  <c:v>873680.50956206</c:v>
                </c:pt>
                <c:pt idx="9">
                  <c:v>1070218.49683614</c:v>
                </c:pt>
                <c:pt idx="10">
                  <c:v>1301476.05506852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'10-Year Projection'!E4</c:f>
              <c:strCache>
                <c:ptCount val="1"/>
                <c:pt idx="0">
                  <c:v>樂觀情境淨值 (9%)</c:v>
                </c:pt>
              </c:strCache>
            </c:strRef>
          </c:tx>
          <c:spPr>
            <a:solidFill>
              <a:srgbClr val="D4A5A4"/>
            </a:solidFill>
            <a:ln w="1260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'10-Year Projection'!$A$5:$A$15</c:f>
              <c:strCach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strCache>
            </c:strRef>
          </c:cat>
          <c:val>
            <c:numRef>
              <c:f>'10-Year Projection'!$E$5:$E$15</c:f>
              <c:numCache>
                <c:formatCode>"S$"#,##0;"(S$"#,##0\);\-</c:formatCode>
                <c:ptCount val="11"/>
                <c:pt idx="0">
                  <c:v>86000</c:v>
                </c:pt>
                <c:pt idx="1">
                  <c:v>135140</c:v>
                </c:pt>
                <c:pt idx="2">
                  <c:v>194912.6</c:v>
                </c:pt>
                <c:pt idx="3">
                  <c:v>267206.234</c:v>
                </c:pt>
                <c:pt idx="4">
                  <c:v>354219.02006</c:v>
                </c:pt>
                <c:pt idx="5">
                  <c:v>458507.5906154</c:v>
                </c:pt>
                <c:pt idx="6">
                  <c:v>583043.461333286</c:v>
                </c:pt>
                <c:pt idx="7">
                  <c:v>731278.088550157</c:v>
                </c:pt>
                <c:pt idx="8">
                  <c:v>907217.939571077</c:v>
                </c:pt>
                <c:pt idx="9">
                  <c:v>1115511.10064159</c:v>
                </c:pt>
                <c:pt idx="10">
                  <c:v>1361547.17818482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740562"/>
        <c:axId val="76376601"/>
      </c:lineChart>
      <c:catAx>
        <c:axId val="477405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376601"/>
        <c:crosses val="autoZero"/>
        <c:auto val="1"/>
        <c:lblAlgn val="ctr"/>
        <c:lblOffset val="100"/>
        <c:noMultiLvlLbl val="0"/>
      </c:catAx>
      <c:valAx>
        <c:axId val="763766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淨值 (SGD)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S$&quot;#,##0;&quot;(S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7405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5</xdr:col>
      <xdr:colOff>856080</xdr:colOff>
      <xdr:row>35</xdr:row>
      <xdr:rowOff>170640</xdr:rowOff>
    </xdr:to>
    <xdr:graphicFrame>
      <xdr:nvGraphicFramePr>
        <xdr:cNvPr id="1" name="Chart 1"/>
        <xdr:cNvGraphicFramePr/>
      </xdr:nvGraphicFramePr>
      <xdr:xfrm>
        <a:off x="0" y="32644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</cols>
  <sheetData>
    <row r="2" customFormat="false" ht="19.4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6.4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true" outlineLevel="0" collapsed="false">
      <c r="B6" s="4" t="s">
        <v>3</v>
      </c>
      <c r="C6" s="4"/>
      <c r="D6" s="4"/>
      <c r="E6" s="5" t="n">
        <f aca="false">INDEX('Monthly Tracker'!P:P,MATCH(MAX('Monthly Tracker'!A:A),'Monthly Tracker'!A:A,0))</f>
        <v>0</v>
      </c>
      <c r="F6" s="5"/>
      <c r="G6" s="5"/>
    </row>
    <row r="7" customFormat="false" ht="15" hidden="false" customHeight="true" outlineLevel="0" collapsed="false">
      <c r="B7" s="4" t="s">
        <v>4</v>
      </c>
      <c r="C7" s="4"/>
      <c r="D7" s="4"/>
      <c r="E7" s="5" t="n">
        <f aca="false">INDEX('Monthly Tracker'!N:N,MATCH(MAX('Monthly Tracker'!A:A),'Monthly Tracker'!A:A,0))</f>
        <v>0</v>
      </c>
      <c r="F7" s="5"/>
      <c r="G7" s="5"/>
    </row>
    <row r="8" customFormat="false" ht="15" hidden="false" customHeight="true" outlineLevel="0" collapsed="false">
      <c r="B8" s="4" t="s">
        <v>5</v>
      </c>
      <c r="C8" s="4"/>
      <c r="D8" s="4"/>
      <c r="E8" s="5" t="n">
        <f aca="false">INDEX('Monthly Tracker'!M:M,MATCH(MAX('Monthly Tracker'!A:A),'Monthly Tracker'!A:A,0))</f>
        <v>0</v>
      </c>
      <c r="F8" s="5"/>
      <c r="G8" s="5"/>
    </row>
    <row r="9" customFormat="false" ht="15" hidden="false" customHeight="true" outlineLevel="0" collapsed="false">
      <c r="B9" s="4" t="s">
        <v>6</v>
      </c>
      <c r="C9" s="4"/>
      <c r="D9" s="4"/>
      <c r="E9" s="5" t="n">
        <f aca="false">INDEX('Monthly Tracker'!H:H,MATCH(MAX('Monthly Tracker'!A:A),'Monthly Tracker'!A:A,0))</f>
        <v>0</v>
      </c>
      <c r="F9" s="5"/>
      <c r="G9" s="5"/>
    </row>
    <row r="10" customFormat="false" ht="15" hidden="false" customHeight="true" outlineLevel="0" collapsed="false">
      <c r="B10" s="4" t="s">
        <v>7</v>
      </c>
      <c r="C10" s="4"/>
      <c r="D10" s="4"/>
      <c r="E10" s="6" t="n">
        <f aca="false">IFERROR(INDEX('Monthly Tracker'!L:L,MATCH(MAX('Monthly Tracker'!A:A),'Monthly Tracker'!A:A,0)),0)</f>
        <v>0</v>
      </c>
      <c r="F10" s="6"/>
      <c r="G10" s="6"/>
    </row>
    <row r="11" customFormat="false" ht="15" hidden="false" customHeight="true" outlineLevel="0" collapsed="false">
      <c r="B11" s="4" t="s">
        <v>8</v>
      </c>
      <c r="C11" s="4"/>
      <c r="D11" s="4"/>
      <c r="E11" s="6" t="n">
        <f aca="false">IFERROR(1 - INDEX('Monthly Tracker'!P:P,MATCH(MAX('Monthly Tracker'!A:A),'Monthly Tracker'!A:A,0))/Assumptions!B16,1)</f>
        <v>1</v>
      </c>
      <c r="F11" s="6"/>
      <c r="G11" s="6"/>
    </row>
    <row r="13" customFormat="false" ht="16.4" hidden="false" customHeight="false" outlineLevel="0" collapsed="false">
      <c r="B13" s="3" t="s">
        <v>9</v>
      </c>
      <c r="C13" s="3"/>
      <c r="D13" s="3"/>
      <c r="E13" s="3"/>
      <c r="F13" s="3"/>
      <c r="G13" s="3"/>
    </row>
    <row r="14" customFormat="false" ht="15" hidden="false" customHeight="false" outlineLevel="0" collapsed="false">
      <c r="B14" s="7" t="s">
        <v>10</v>
      </c>
      <c r="C14" s="8" t="s">
        <v>11</v>
      </c>
      <c r="D14" s="8" t="s">
        <v>12</v>
      </c>
      <c r="E14" s="8" t="s">
        <v>13</v>
      </c>
      <c r="F14" s="8" t="s">
        <v>14</v>
      </c>
      <c r="G14" s="8" t="s">
        <v>15</v>
      </c>
    </row>
    <row r="15" customFormat="false" ht="15" hidden="false" customHeight="false" outlineLevel="0" collapsed="false">
      <c r="B15" s="9" t="s">
        <v>16</v>
      </c>
      <c r="C15" s="10" t="n">
        <f aca="false">Milestones!B3</f>
        <v>46752</v>
      </c>
      <c r="D15" s="11" t="n">
        <f aca="false">Milestones!D3</f>
        <v>630</v>
      </c>
      <c r="E15" s="12" t="n">
        <f aca="false">Milestones!E3</f>
        <v>80000</v>
      </c>
      <c r="F15" s="12" t="n">
        <f aca="false">Milestones!F3</f>
        <v>0</v>
      </c>
      <c r="G15" s="13" t="n">
        <f aca="false">IFERROR(F15/E15,0)</f>
        <v>0</v>
      </c>
    </row>
    <row r="16" customFormat="false" ht="15" hidden="false" customHeight="false" outlineLevel="0" collapsed="false">
      <c r="B16" s="9" t="s">
        <v>17</v>
      </c>
      <c r="C16" s="10" t="n">
        <f aca="false">Milestones!B4</f>
        <v>47299</v>
      </c>
      <c r="D16" s="11" t="n">
        <f aca="false">Milestones!D4</f>
        <v>1177</v>
      </c>
      <c r="E16" s="12" t="n">
        <f aca="false">Milestones!E4</f>
        <v>400000</v>
      </c>
      <c r="F16" s="12" t="n">
        <f aca="false">Milestones!F4</f>
        <v>0</v>
      </c>
      <c r="G16" s="13" t="n">
        <f aca="false">IFERROR(F16/E16,0)</f>
        <v>0</v>
      </c>
    </row>
    <row r="17" customFormat="false" ht="15" hidden="false" customHeight="false" outlineLevel="0" collapsed="false">
      <c r="B17" s="9" t="s">
        <v>18</v>
      </c>
      <c r="C17" s="10" t="n">
        <f aca="false">Milestones!B5</f>
        <v>47664</v>
      </c>
      <c r="D17" s="11" t="n">
        <f aca="false">Milestones!D5</f>
        <v>1542</v>
      </c>
      <c r="E17" s="12" t="n">
        <f aca="false">Milestones!E5</f>
        <v>30000</v>
      </c>
      <c r="F17" s="12" t="n">
        <f aca="false">Milestones!F5</f>
        <v>0</v>
      </c>
      <c r="G17" s="13" t="n">
        <f aca="false">IFERROR(F17/E17,0)</f>
        <v>0</v>
      </c>
    </row>
    <row r="18" customFormat="false" ht="15" hidden="false" customHeight="false" outlineLevel="0" collapsed="false">
      <c r="B18" s="9" t="s">
        <v>19</v>
      </c>
      <c r="C18" s="10" t="n">
        <f aca="false">Milestones!B6</f>
        <v>46387</v>
      </c>
      <c r="D18" s="11" t="n">
        <f aca="false">Milestones!D6</f>
        <v>265</v>
      </c>
      <c r="E18" s="12" t="n">
        <f aca="false">Milestones!E6</f>
        <v>100000</v>
      </c>
      <c r="F18" s="12" t="n">
        <f aca="false">Milestones!F6</f>
        <v>0</v>
      </c>
      <c r="G18" s="13" t="n">
        <f aca="false">IFERROR(F18/E18,0)</f>
        <v>0</v>
      </c>
    </row>
    <row r="21" customFormat="false" ht="16.15" hidden="false" customHeight="false" outlineLevel="0" collapsed="false">
      <c r="B21" s="3" t="s">
        <v>20</v>
      </c>
      <c r="C21" s="3"/>
      <c r="D21" s="3"/>
      <c r="E21" s="3"/>
      <c r="F21" s="3"/>
      <c r="G21" s="3"/>
    </row>
    <row r="22" customFormat="false" ht="15" hidden="false" customHeight="false" outlineLevel="0" collapsed="false">
      <c r="B22" s="14" t="s">
        <v>21</v>
      </c>
      <c r="C22" s="14"/>
      <c r="D22" s="14"/>
      <c r="E22" s="14"/>
      <c r="F22" s="14"/>
      <c r="G22" s="14"/>
    </row>
    <row r="23" customFormat="false" ht="15" hidden="false" customHeight="false" outlineLevel="0" collapsed="false">
      <c r="B23" s="14" t="s">
        <v>22</v>
      </c>
      <c r="C23" s="14"/>
      <c r="D23" s="14"/>
      <c r="E23" s="14"/>
      <c r="F23" s="14"/>
      <c r="G23" s="14"/>
    </row>
    <row r="24" customFormat="false" ht="15" hidden="false" customHeight="false" outlineLevel="0" collapsed="false">
      <c r="B24" s="14" t="s">
        <v>23</v>
      </c>
      <c r="C24" s="14"/>
      <c r="D24" s="14"/>
      <c r="E24" s="14"/>
      <c r="F24" s="14"/>
      <c r="G24" s="14"/>
    </row>
    <row r="25" customFormat="false" ht="15" hidden="false" customHeight="false" outlineLevel="0" collapsed="false">
      <c r="B25" s="14" t="s">
        <v>24</v>
      </c>
      <c r="C25" s="14"/>
      <c r="D25" s="14"/>
      <c r="E25" s="14"/>
      <c r="F25" s="14"/>
      <c r="G25" s="14"/>
    </row>
    <row r="26" customFormat="false" ht="15" hidden="false" customHeight="false" outlineLevel="0" collapsed="false">
      <c r="B26" s="14" t="s">
        <v>25</v>
      </c>
      <c r="C26" s="14"/>
      <c r="D26" s="14"/>
      <c r="E26" s="14"/>
      <c r="F26" s="14"/>
      <c r="G26" s="14"/>
    </row>
    <row r="27" customFormat="false" ht="15" hidden="false" customHeight="false" outlineLevel="0" collapsed="false">
      <c r="B27" s="14" t="s">
        <v>26</v>
      </c>
      <c r="C27" s="14"/>
      <c r="D27" s="14"/>
      <c r="E27" s="14"/>
      <c r="F27" s="14"/>
      <c r="G27" s="14"/>
    </row>
  </sheetData>
  <mergeCells count="23">
    <mergeCell ref="B2:G2"/>
    <mergeCell ref="B3:G3"/>
    <mergeCell ref="B5:G5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D11"/>
    <mergeCell ref="E11:G11"/>
    <mergeCell ref="B13:G13"/>
    <mergeCell ref="B21:G21"/>
    <mergeCell ref="B22:G22"/>
    <mergeCell ref="B23:G23"/>
    <mergeCell ref="B24:G24"/>
    <mergeCell ref="B25:G25"/>
    <mergeCell ref="B26:G26"/>
    <mergeCell ref="B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7" min="3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6" min="13" style="0" width="14"/>
  </cols>
  <sheetData>
    <row r="1" customFormat="false" ht="19.7" hidden="false" customHeight="false" outlineLevel="0" collapsed="false">
      <c r="A1" s="15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customFormat="false" ht="12.65" hidden="false" customHeight="false" outlineLevel="0" collapsed="false">
      <c r="A2" s="16" t="s">
        <v>28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customFormat="false" ht="27.6" hidden="false" customHeight="false" outlineLevel="0" collapsed="false">
      <c r="A3" s="8" t="s">
        <v>29</v>
      </c>
      <c r="B3" s="8" t="s">
        <v>30</v>
      </c>
      <c r="C3" s="8" t="s">
        <v>31</v>
      </c>
      <c r="D3" s="8" t="s">
        <v>32</v>
      </c>
      <c r="E3" s="8" t="s">
        <v>33</v>
      </c>
      <c r="F3" s="8" t="s">
        <v>34</v>
      </c>
      <c r="G3" s="8" t="s">
        <v>35</v>
      </c>
      <c r="H3" s="8" t="s">
        <v>36</v>
      </c>
      <c r="I3" s="8" t="s">
        <v>37</v>
      </c>
      <c r="J3" s="8" t="s">
        <v>38</v>
      </c>
      <c r="K3" s="8" t="s">
        <v>39</v>
      </c>
      <c r="L3" s="8" t="s">
        <v>40</v>
      </c>
      <c r="M3" s="8" t="s">
        <v>5</v>
      </c>
      <c r="N3" s="8" t="s">
        <v>41</v>
      </c>
      <c r="O3" s="8" t="s">
        <v>42</v>
      </c>
      <c r="P3" s="8" t="s">
        <v>43</v>
      </c>
    </row>
    <row r="4" customFormat="false" ht="15" hidden="false" customHeight="false" outlineLevel="0" collapsed="false">
      <c r="A4" s="17" t="n">
        <v>46113</v>
      </c>
      <c r="B4" s="18" t="n">
        <v>0</v>
      </c>
      <c r="C4" s="18" t="n">
        <v>0</v>
      </c>
      <c r="D4" s="18" t="n">
        <v>0</v>
      </c>
      <c r="E4" s="18" t="n">
        <v>0</v>
      </c>
      <c r="F4" s="18" t="n">
        <v>0</v>
      </c>
      <c r="G4" s="18" t="n">
        <v>0</v>
      </c>
      <c r="H4" s="19" t="n">
        <f aca="false">SUM(B4:G4)</f>
        <v>0</v>
      </c>
      <c r="I4" s="18" t="n">
        <v>0</v>
      </c>
      <c r="J4" s="18" t="n">
        <v>0</v>
      </c>
      <c r="K4" s="19" t="n">
        <f aca="false">I4+J4</f>
        <v>0</v>
      </c>
      <c r="L4" s="13" t="n">
        <f aca="false">IFERROR((H4-K4)/H4,0)</f>
        <v>0</v>
      </c>
      <c r="M4" s="18" t="n">
        <v>0</v>
      </c>
      <c r="N4" s="18" t="n">
        <v>0</v>
      </c>
      <c r="O4" s="18" t="n">
        <v>0</v>
      </c>
      <c r="P4" s="20" t="n">
        <f aca="false">M4+N4+O4</f>
        <v>0</v>
      </c>
    </row>
    <row r="5" customFormat="false" ht="15" hidden="false" customHeight="false" outlineLevel="0" collapsed="false">
      <c r="A5" s="17" t="n">
        <v>46143</v>
      </c>
      <c r="B5" s="18" t="n">
        <v>0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9" t="n">
        <f aca="false">SUM(B5:G5)</f>
        <v>0</v>
      </c>
      <c r="I5" s="18" t="n">
        <v>0</v>
      </c>
      <c r="J5" s="18" t="n">
        <v>0</v>
      </c>
      <c r="K5" s="19" t="n">
        <f aca="false">I5+J5</f>
        <v>0</v>
      </c>
      <c r="L5" s="13" t="n">
        <f aca="false">IFERROR((H5-K5)/H5,0)</f>
        <v>0</v>
      </c>
      <c r="M5" s="18" t="n">
        <v>0</v>
      </c>
      <c r="N5" s="18" t="n">
        <v>0</v>
      </c>
      <c r="O5" s="18" t="n">
        <v>0</v>
      </c>
      <c r="P5" s="20" t="n">
        <f aca="false">M5+N5+O5</f>
        <v>0</v>
      </c>
    </row>
    <row r="6" customFormat="false" ht="15" hidden="false" customHeight="false" outlineLevel="0" collapsed="false">
      <c r="A6" s="17" t="n">
        <v>46174</v>
      </c>
      <c r="B6" s="18" t="n">
        <v>0</v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9" t="n">
        <f aca="false">SUM(B6:G6)</f>
        <v>0</v>
      </c>
      <c r="I6" s="18" t="n">
        <v>0</v>
      </c>
      <c r="J6" s="18" t="n">
        <v>0</v>
      </c>
      <c r="K6" s="19" t="n">
        <f aca="false">I6+J6</f>
        <v>0</v>
      </c>
      <c r="L6" s="13" t="n">
        <f aca="false">IFERROR((H6-K6)/H6,0)</f>
        <v>0</v>
      </c>
      <c r="M6" s="18" t="n">
        <v>0</v>
      </c>
      <c r="N6" s="18" t="n">
        <v>0</v>
      </c>
      <c r="O6" s="18" t="n">
        <v>0</v>
      </c>
      <c r="P6" s="20" t="n">
        <f aca="false">M6+N6+O6</f>
        <v>0</v>
      </c>
    </row>
    <row r="7" customFormat="false" ht="15" hidden="false" customHeight="false" outlineLevel="0" collapsed="false">
      <c r="A7" s="17" t="n">
        <v>46204</v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9" t="n">
        <f aca="false">SUM(B7:G7)</f>
        <v>0</v>
      </c>
      <c r="I7" s="18" t="n">
        <v>0</v>
      </c>
      <c r="J7" s="18" t="n">
        <v>0</v>
      </c>
      <c r="K7" s="19" t="n">
        <f aca="false">I7+J7</f>
        <v>0</v>
      </c>
      <c r="L7" s="13" t="n">
        <f aca="false">IFERROR((H7-K7)/H7,0)</f>
        <v>0</v>
      </c>
      <c r="M7" s="18" t="n">
        <v>0</v>
      </c>
      <c r="N7" s="18" t="n">
        <v>0</v>
      </c>
      <c r="O7" s="18" t="n">
        <v>0</v>
      </c>
      <c r="P7" s="20" t="n">
        <f aca="false">M7+N7+O7</f>
        <v>0</v>
      </c>
    </row>
    <row r="8" customFormat="false" ht="15" hidden="false" customHeight="false" outlineLevel="0" collapsed="false">
      <c r="A8" s="17" t="n">
        <v>46235</v>
      </c>
      <c r="B8" s="18" t="n">
        <v>0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9" t="n">
        <f aca="false">SUM(B8:G8)</f>
        <v>0</v>
      </c>
      <c r="I8" s="18" t="n">
        <v>0</v>
      </c>
      <c r="J8" s="18" t="n">
        <v>0</v>
      </c>
      <c r="K8" s="19" t="n">
        <f aca="false">I8+J8</f>
        <v>0</v>
      </c>
      <c r="L8" s="13" t="n">
        <f aca="false">IFERROR((H8-K8)/H8,0)</f>
        <v>0</v>
      </c>
      <c r="M8" s="18" t="n">
        <v>0</v>
      </c>
      <c r="N8" s="18" t="n">
        <v>0</v>
      </c>
      <c r="O8" s="18" t="n">
        <v>0</v>
      </c>
      <c r="P8" s="20" t="n">
        <f aca="false">M8+N8+O8</f>
        <v>0</v>
      </c>
    </row>
    <row r="9" customFormat="false" ht="15" hidden="false" customHeight="false" outlineLevel="0" collapsed="false">
      <c r="A9" s="17" t="n">
        <v>46266</v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9" t="n">
        <f aca="false">SUM(B9:G9)</f>
        <v>0</v>
      </c>
      <c r="I9" s="18" t="n">
        <v>0</v>
      </c>
      <c r="J9" s="18" t="n">
        <v>0</v>
      </c>
      <c r="K9" s="19" t="n">
        <f aca="false">I9+J9</f>
        <v>0</v>
      </c>
      <c r="L9" s="13" t="n">
        <f aca="false">IFERROR((H9-K9)/H9,0)</f>
        <v>0</v>
      </c>
      <c r="M9" s="18" t="n">
        <v>0</v>
      </c>
      <c r="N9" s="18" t="n">
        <v>0</v>
      </c>
      <c r="O9" s="18" t="n">
        <v>0</v>
      </c>
      <c r="P9" s="20" t="n">
        <f aca="false">M9+N9+O9</f>
        <v>0</v>
      </c>
    </row>
    <row r="10" customFormat="false" ht="15" hidden="false" customHeight="false" outlineLevel="0" collapsed="false">
      <c r="A10" s="17" t="n">
        <v>46296</v>
      </c>
      <c r="B10" s="18" t="n">
        <v>0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9" t="n">
        <f aca="false">SUM(B10:G10)</f>
        <v>0</v>
      </c>
      <c r="I10" s="18" t="n">
        <v>0</v>
      </c>
      <c r="J10" s="18" t="n">
        <v>0</v>
      </c>
      <c r="K10" s="19" t="n">
        <f aca="false">I10+J10</f>
        <v>0</v>
      </c>
      <c r="L10" s="13" t="n">
        <f aca="false">IFERROR((H10-K10)/H10,0)</f>
        <v>0</v>
      </c>
      <c r="M10" s="18" t="n">
        <v>0</v>
      </c>
      <c r="N10" s="18" t="n">
        <v>0</v>
      </c>
      <c r="O10" s="18" t="n">
        <v>0</v>
      </c>
      <c r="P10" s="20" t="n">
        <f aca="false">M10+N10+O10</f>
        <v>0</v>
      </c>
    </row>
    <row r="11" customFormat="false" ht="15" hidden="false" customHeight="false" outlineLevel="0" collapsed="false">
      <c r="A11" s="17" t="n">
        <v>46327</v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9" t="n">
        <f aca="false">SUM(B11:G11)</f>
        <v>0</v>
      </c>
      <c r="I11" s="18" t="n">
        <v>0</v>
      </c>
      <c r="J11" s="18" t="n">
        <v>0</v>
      </c>
      <c r="K11" s="19" t="n">
        <f aca="false">I11+J11</f>
        <v>0</v>
      </c>
      <c r="L11" s="13" t="n">
        <f aca="false">IFERROR((H11-K11)/H11,0)</f>
        <v>0</v>
      </c>
      <c r="M11" s="18" t="n">
        <v>0</v>
      </c>
      <c r="N11" s="18" t="n">
        <v>0</v>
      </c>
      <c r="O11" s="18" t="n">
        <v>0</v>
      </c>
      <c r="P11" s="20" t="n">
        <f aca="false">M11+N11+O11</f>
        <v>0</v>
      </c>
    </row>
    <row r="12" customFormat="false" ht="15" hidden="false" customHeight="false" outlineLevel="0" collapsed="false">
      <c r="A12" s="17" t="n">
        <v>46357</v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9" t="n">
        <f aca="false">SUM(B12:G12)</f>
        <v>0</v>
      </c>
      <c r="I12" s="18" t="n">
        <v>0</v>
      </c>
      <c r="J12" s="18" t="n">
        <v>0</v>
      </c>
      <c r="K12" s="19" t="n">
        <f aca="false">I12+J12</f>
        <v>0</v>
      </c>
      <c r="L12" s="13" t="n">
        <f aca="false">IFERROR((H12-K12)/H12,0)</f>
        <v>0</v>
      </c>
      <c r="M12" s="18" t="n">
        <v>0</v>
      </c>
      <c r="N12" s="18" t="n">
        <v>0</v>
      </c>
      <c r="O12" s="18" t="n">
        <v>0</v>
      </c>
      <c r="P12" s="20" t="n">
        <f aca="false">M12+N12+O12</f>
        <v>0</v>
      </c>
    </row>
    <row r="13" customFormat="false" ht="15" hidden="false" customHeight="false" outlineLevel="0" collapsed="false">
      <c r="A13" s="17" t="n">
        <v>46388</v>
      </c>
      <c r="B13" s="18" t="n">
        <v>0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9" t="n">
        <f aca="false">SUM(B13:G13)</f>
        <v>0</v>
      </c>
      <c r="I13" s="18" t="n">
        <v>0</v>
      </c>
      <c r="J13" s="18" t="n">
        <v>0</v>
      </c>
      <c r="K13" s="19" t="n">
        <f aca="false">I13+J13</f>
        <v>0</v>
      </c>
      <c r="L13" s="13" t="n">
        <f aca="false">IFERROR((H13-K13)/H13,0)</f>
        <v>0</v>
      </c>
      <c r="M13" s="18" t="n">
        <v>0</v>
      </c>
      <c r="N13" s="18" t="n">
        <v>0</v>
      </c>
      <c r="O13" s="18" t="n">
        <v>0</v>
      </c>
      <c r="P13" s="20" t="n">
        <f aca="false">M13+N13+O13</f>
        <v>0</v>
      </c>
    </row>
    <row r="14" customFormat="false" ht="15" hidden="false" customHeight="false" outlineLevel="0" collapsed="false">
      <c r="A14" s="17" t="n">
        <v>46419</v>
      </c>
      <c r="B14" s="18" t="n">
        <v>0</v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9" t="n">
        <f aca="false">SUM(B14:G14)</f>
        <v>0</v>
      </c>
      <c r="I14" s="18" t="n">
        <v>0</v>
      </c>
      <c r="J14" s="18" t="n">
        <v>0</v>
      </c>
      <c r="K14" s="19" t="n">
        <f aca="false">I14+J14</f>
        <v>0</v>
      </c>
      <c r="L14" s="13" t="n">
        <f aca="false">IFERROR((H14-K14)/H14,0)</f>
        <v>0</v>
      </c>
      <c r="M14" s="18" t="n">
        <v>0</v>
      </c>
      <c r="N14" s="18" t="n">
        <v>0</v>
      </c>
      <c r="O14" s="18" t="n">
        <v>0</v>
      </c>
      <c r="P14" s="20" t="n">
        <f aca="false">M14+N14+O14</f>
        <v>0</v>
      </c>
    </row>
    <row r="15" customFormat="false" ht="15" hidden="false" customHeight="false" outlineLevel="0" collapsed="false">
      <c r="A15" s="17" t="n">
        <v>46447</v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9" t="n">
        <f aca="false">SUM(B15:G15)</f>
        <v>0</v>
      </c>
      <c r="I15" s="18" t="n">
        <v>0</v>
      </c>
      <c r="J15" s="18" t="n">
        <v>0</v>
      </c>
      <c r="K15" s="19" t="n">
        <f aca="false">I15+J15</f>
        <v>0</v>
      </c>
      <c r="L15" s="13" t="n">
        <f aca="false">IFERROR((H15-K15)/H15,0)</f>
        <v>0</v>
      </c>
      <c r="M15" s="18" t="n">
        <v>0</v>
      </c>
      <c r="N15" s="18" t="n">
        <v>0</v>
      </c>
      <c r="O15" s="18" t="n">
        <v>0</v>
      </c>
      <c r="P15" s="20" t="n">
        <f aca="false">M15+N15+O15</f>
        <v>0</v>
      </c>
    </row>
    <row r="16" customFormat="false" ht="15" hidden="false" customHeight="false" outlineLevel="0" collapsed="false">
      <c r="A16" s="17" t="n">
        <v>46478</v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9" t="n">
        <f aca="false">SUM(B16:G16)</f>
        <v>0</v>
      </c>
      <c r="I16" s="18" t="n">
        <v>0</v>
      </c>
      <c r="J16" s="18" t="n">
        <v>0</v>
      </c>
      <c r="K16" s="19" t="n">
        <f aca="false">I16+J16</f>
        <v>0</v>
      </c>
      <c r="L16" s="13" t="n">
        <f aca="false">IFERROR((H16-K16)/H16,0)</f>
        <v>0</v>
      </c>
      <c r="M16" s="18" t="n">
        <v>0</v>
      </c>
      <c r="N16" s="18" t="n">
        <v>0</v>
      </c>
      <c r="O16" s="18" t="n">
        <v>0</v>
      </c>
      <c r="P16" s="20" t="n">
        <f aca="false">M16+N16+O16</f>
        <v>0</v>
      </c>
    </row>
    <row r="17" customFormat="false" ht="15" hidden="false" customHeight="false" outlineLevel="0" collapsed="false">
      <c r="A17" s="17" t="n">
        <v>46508</v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9" t="n">
        <f aca="false">SUM(B17:G17)</f>
        <v>0</v>
      </c>
      <c r="I17" s="18" t="n">
        <v>0</v>
      </c>
      <c r="J17" s="18" t="n">
        <v>0</v>
      </c>
      <c r="K17" s="19" t="n">
        <f aca="false">I17+J17</f>
        <v>0</v>
      </c>
      <c r="L17" s="13" t="n">
        <f aca="false">IFERROR((H17-K17)/H17,0)</f>
        <v>0</v>
      </c>
      <c r="M17" s="18" t="n">
        <v>0</v>
      </c>
      <c r="N17" s="18" t="n">
        <v>0</v>
      </c>
      <c r="O17" s="18" t="n">
        <v>0</v>
      </c>
      <c r="P17" s="20" t="n">
        <f aca="false">M17+N17+O17</f>
        <v>0</v>
      </c>
    </row>
    <row r="18" customFormat="false" ht="15" hidden="false" customHeight="false" outlineLevel="0" collapsed="false">
      <c r="A18" s="17" t="n">
        <v>46539</v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9" t="n">
        <f aca="false">SUM(B18:G18)</f>
        <v>0</v>
      </c>
      <c r="I18" s="18" t="n">
        <v>0</v>
      </c>
      <c r="J18" s="18" t="n">
        <v>0</v>
      </c>
      <c r="K18" s="19" t="n">
        <f aca="false">I18+J18</f>
        <v>0</v>
      </c>
      <c r="L18" s="13" t="n">
        <f aca="false">IFERROR((H18-K18)/H18,0)</f>
        <v>0</v>
      </c>
      <c r="M18" s="18" t="n">
        <v>0</v>
      </c>
      <c r="N18" s="18" t="n">
        <v>0</v>
      </c>
      <c r="O18" s="18" t="n">
        <v>0</v>
      </c>
      <c r="P18" s="20" t="n">
        <f aca="false">M18+N18+O18</f>
        <v>0</v>
      </c>
    </row>
    <row r="19" customFormat="false" ht="15" hidden="false" customHeight="false" outlineLevel="0" collapsed="false">
      <c r="A19" s="17" t="n">
        <v>46569</v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9" t="n">
        <f aca="false">SUM(B19:G19)</f>
        <v>0</v>
      </c>
      <c r="I19" s="18" t="n">
        <v>0</v>
      </c>
      <c r="J19" s="18" t="n">
        <v>0</v>
      </c>
      <c r="K19" s="19" t="n">
        <f aca="false">I19+J19</f>
        <v>0</v>
      </c>
      <c r="L19" s="13" t="n">
        <f aca="false">IFERROR((H19-K19)/H19,0)</f>
        <v>0</v>
      </c>
      <c r="M19" s="18" t="n">
        <v>0</v>
      </c>
      <c r="N19" s="18" t="n">
        <v>0</v>
      </c>
      <c r="O19" s="18" t="n">
        <v>0</v>
      </c>
      <c r="P19" s="20" t="n">
        <f aca="false">M19+N19+O19</f>
        <v>0</v>
      </c>
    </row>
    <row r="20" customFormat="false" ht="15" hidden="false" customHeight="false" outlineLevel="0" collapsed="false">
      <c r="A20" s="17" t="n">
        <v>46600</v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9" t="n">
        <f aca="false">SUM(B20:G20)</f>
        <v>0</v>
      </c>
      <c r="I20" s="18" t="n">
        <v>0</v>
      </c>
      <c r="J20" s="18" t="n">
        <v>0</v>
      </c>
      <c r="K20" s="19" t="n">
        <f aca="false">I20+J20</f>
        <v>0</v>
      </c>
      <c r="L20" s="13" t="n">
        <f aca="false">IFERROR((H20-K20)/H20,0)</f>
        <v>0</v>
      </c>
      <c r="M20" s="18" t="n">
        <v>0</v>
      </c>
      <c r="N20" s="18" t="n">
        <v>0</v>
      </c>
      <c r="O20" s="18" t="n">
        <v>0</v>
      </c>
      <c r="P20" s="20" t="n">
        <f aca="false">M20+N20+O20</f>
        <v>0</v>
      </c>
    </row>
    <row r="21" customFormat="false" ht="15" hidden="false" customHeight="false" outlineLevel="0" collapsed="false">
      <c r="A21" s="17" t="n">
        <v>46631</v>
      </c>
      <c r="B21" s="18" t="n">
        <v>0</v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9" t="n">
        <f aca="false">SUM(B21:G21)</f>
        <v>0</v>
      </c>
      <c r="I21" s="18" t="n">
        <v>0</v>
      </c>
      <c r="J21" s="18" t="n">
        <v>0</v>
      </c>
      <c r="K21" s="19" t="n">
        <f aca="false">I21+J21</f>
        <v>0</v>
      </c>
      <c r="L21" s="13" t="n">
        <f aca="false">IFERROR((H21-K21)/H21,0)</f>
        <v>0</v>
      </c>
      <c r="M21" s="18" t="n">
        <v>0</v>
      </c>
      <c r="N21" s="18" t="n">
        <v>0</v>
      </c>
      <c r="O21" s="18" t="n">
        <v>0</v>
      </c>
      <c r="P21" s="20" t="n">
        <f aca="false">M21+N21+O21</f>
        <v>0</v>
      </c>
    </row>
    <row r="22" customFormat="false" ht="15" hidden="false" customHeight="false" outlineLevel="0" collapsed="false">
      <c r="A22" s="17" t="n">
        <v>46661</v>
      </c>
      <c r="B22" s="18" t="n">
        <v>0</v>
      </c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9" t="n">
        <f aca="false">SUM(B22:G22)</f>
        <v>0</v>
      </c>
      <c r="I22" s="18" t="n">
        <v>0</v>
      </c>
      <c r="J22" s="18" t="n">
        <v>0</v>
      </c>
      <c r="K22" s="19" t="n">
        <f aca="false">I22+J22</f>
        <v>0</v>
      </c>
      <c r="L22" s="13" t="n">
        <f aca="false">IFERROR((H22-K22)/H22,0)</f>
        <v>0</v>
      </c>
      <c r="M22" s="18" t="n">
        <v>0</v>
      </c>
      <c r="N22" s="18" t="n">
        <v>0</v>
      </c>
      <c r="O22" s="18" t="n">
        <v>0</v>
      </c>
      <c r="P22" s="20" t="n">
        <f aca="false">M22+N22+O22</f>
        <v>0</v>
      </c>
    </row>
    <row r="23" customFormat="false" ht="15" hidden="false" customHeight="false" outlineLevel="0" collapsed="false">
      <c r="A23" s="17" t="n">
        <v>46692</v>
      </c>
      <c r="B23" s="18" t="n">
        <v>0</v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9" t="n">
        <f aca="false">SUM(B23:G23)</f>
        <v>0</v>
      </c>
      <c r="I23" s="18" t="n">
        <v>0</v>
      </c>
      <c r="J23" s="18" t="n">
        <v>0</v>
      </c>
      <c r="K23" s="19" t="n">
        <f aca="false">I23+J23</f>
        <v>0</v>
      </c>
      <c r="L23" s="13" t="n">
        <f aca="false">IFERROR((H23-K23)/H23,0)</f>
        <v>0</v>
      </c>
      <c r="M23" s="18" t="n">
        <v>0</v>
      </c>
      <c r="N23" s="18" t="n">
        <v>0</v>
      </c>
      <c r="O23" s="18" t="n">
        <v>0</v>
      </c>
      <c r="P23" s="20" t="n">
        <f aca="false">M23+N23+O23</f>
        <v>0</v>
      </c>
    </row>
    <row r="24" customFormat="false" ht="15" hidden="false" customHeight="false" outlineLevel="0" collapsed="false">
      <c r="A24" s="17" t="n">
        <v>46722</v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9" t="n">
        <f aca="false">SUM(B24:G24)</f>
        <v>0</v>
      </c>
      <c r="I24" s="18" t="n">
        <v>0</v>
      </c>
      <c r="J24" s="18" t="n">
        <v>0</v>
      </c>
      <c r="K24" s="19" t="n">
        <f aca="false">I24+J24</f>
        <v>0</v>
      </c>
      <c r="L24" s="13" t="n">
        <f aca="false">IFERROR((H24-K24)/H24,0)</f>
        <v>0</v>
      </c>
      <c r="M24" s="18" t="n">
        <v>0</v>
      </c>
      <c r="N24" s="18" t="n">
        <v>0</v>
      </c>
      <c r="O24" s="18" t="n">
        <v>0</v>
      </c>
      <c r="P24" s="20" t="n">
        <f aca="false">M24+N24+O24</f>
        <v>0</v>
      </c>
    </row>
    <row r="25" customFormat="false" ht="15" hidden="false" customHeight="false" outlineLevel="0" collapsed="false">
      <c r="A25" s="17" t="n">
        <v>46753</v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9" t="n">
        <f aca="false">SUM(B25:G25)</f>
        <v>0</v>
      </c>
      <c r="I25" s="18" t="n">
        <v>0</v>
      </c>
      <c r="J25" s="18" t="n">
        <v>0</v>
      </c>
      <c r="K25" s="19" t="n">
        <f aca="false">I25+J25</f>
        <v>0</v>
      </c>
      <c r="L25" s="13" t="n">
        <f aca="false">IFERROR((H25-K25)/H25,0)</f>
        <v>0</v>
      </c>
      <c r="M25" s="18" t="n">
        <v>0</v>
      </c>
      <c r="N25" s="18" t="n">
        <v>0</v>
      </c>
      <c r="O25" s="18" t="n">
        <v>0</v>
      </c>
      <c r="P25" s="20" t="n">
        <f aca="false">M25+N25+O25</f>
        <v>0</v>
      </c>
    </row>
    <row r="26" customFormat="false" ht="15" hidden="false" customHeight="false" outlineLevel="0" collapsed="false">
      <c r="A26" s="17" t="n">
        <v>46784</v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9" t="n">
        <f aca="false">SUM(B26:G26)</f>
        <v>0</v>
      </c>
      <c r="I26" s="18" t="n">
        <v>0</v>
      </c>
      <c r="J26" s="18" t="n">
        <v>0</v>
      </c>
      <c r="K26" s="19" t="n">
        <f aca="false">I26+J26</f>
        <v>0</v>
      </c>
      <c r="L26" s="13" t="n">
        <f aca="false">IFERROR((H26-K26)/H26,0)</f>
        <v>0</v>
      </c>
      <c r="M26" s="18" t="n">
        <v>0</v>
      </c>
      <c r="N26" s="18" t="n">
        <v>0</v>
      </c>
      <c r="O26" s="18" t="n">
        <v>0</v>
      </c>
      <c r="P26" s="20" t="n">
        <f aca="false">M26+N26+O26</f>
        <v>0</v>
      </c>
    </row>
    <row r="27" customFormat="false" ht="15" hidden="false" customHeight="false" outlineLevel="0" collapsed="false">
      <c r="A27" s="17" t="n">
        <v>46813</v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9" t="n">
        <f aca="false">SUM(B27:G27)</f>
        <v>0</v>
      </c>
      <c r="I27" s="18" t="n">
        <v>0</v>
      </c>
      <c r="J27" s="18" t="n">
        <v>0</v>
      </c>
      <c r="K27" s="19" t="n">
        <f aca="false">I27+J27</f>
        <v>0</v>
      </c>
      <c r="L27" s="13" t="n">
        <f aca="false">IFERROR((H27-K27)/H27,0)</f>
        <v>0</v>
      </c>
      <c r="M27" s="18" t="n">
        <v>0</v>
      </c>
      <c r="N27" s="18" t="n">
        <v>0</v>
      </c>
      <c r="O27" s="18" t="n">
        <v>0</v>
      </c>
      <c r="P27" s="20" t="n">
        <f aca="false">M27+N27+O27</f>
        <v>0</v>
      </c>
    </row>
    <row r="30" customFormat="false" ht="15" hidden="false" customHeight="false" outlineLevel="0" collapsed="false">
      <c r="A30" s="21" t="s">
        <v>44</v>
      </c>
    </row>
    <row r="31" customFormat="false" ht="15" hidden="false" customHeight="false" outlineLevel="0" collapsed="false">
      <c r="A31" s="22" t="s">
        <v>45</v>
      </c>
    </row>
    <row r="32" customFormat="false" ht="15" hidden="false" customHeight="false" outlineLevel="0" collapsed="false">
      <c r="A32" s="23" t="s">
        <v>46</v>
      </c>
    </row>
    <row r="33" customFormat="false" ht="15" hidden="false" customHeight="false" outlineLevel="0" collapsed="false">
      <c r="A33" s="24" t="s">
        <v>47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5" t="s">
        <v>48</v>
      </c>
      <c r="B1" s="15"/>
      <c r="C1" s="15"/>
      <c r="D1" s="15"/>
      <c r="E1" s="15"/>
      <c r="F1" s="15"/>
    </row>
    <row r="2" customFormat="false" ht="12.65" hidden="false" customHeight="false" outlineLevel="0" collapsed="false">
      <c r="A2" s="16" t="s">
        <v>49</v>
      </c>
      <c r="B2" s="16"/>
      <c r="C2" s="16"/>
      <c r="D2" s="16"/>
      <c r="E2" s="16"/>
      <c r="F2" s="16"/>
    </row>
    <row r="4" customFormat="false" ht="15" hidden="false" customHeight="false" outlineLevel="0" collapsed="false">
      <c r="A4" s="8" t="s">
        <v>50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</row>
    <row r="5" customFormat="false" ht="15" hidden="false" customHeight="false" outlineLevel="0" collapsed="false">
      <c r="A5" s="9" t="s">
        <v>56</v>
      </c>
      <c r="B5" s="25" t="n">
        <v>0.6</v>
      </c>
      <c r="C5" s="18" t="n">
        <v>0</v>
      </c>
      <c r="D5" s="13" t="n">
        <f aca="false">IFERROR(C5/$C$10,0)</f>
        <v>0</v>
      </c>
      <c r="E5" s="13" t="n">
        <f aca="false">D5-B5</f>
        <v>-0.6</v>
      </c>
      <c r="F5" s="26" t="str">
        <f aca="false">IF(ABS(E5)&gt;0.05,"⚠ Rebalance","✓ OK")</f>
        <v>⚠ Rebalance</v>
      </c>
    </row>
    <row r="6" customFormat="false" ht="15" hidden="false" customHeight="false" outlineLevel="0" collapsed="false">
      <c r="A6" s="9" t="s">
        <v>57</v>
      </c>
      <c r="B6" s="25" t="n">
        <v>0.15</v>
      </c>
      <c r="C6" s="18" t="n">
        <v>0</v>
      </c>
      <c r="D6" s="13" t="n">
        <f aca="false">IFERROR(C6/$C$10,0)</f>
        <v>0</v>
      </c>
      <c r="E6" s="13" t="n">
        <f aca="false">D6-B6</f>
        <v>-0.15</v>
      </c>
      <c r="F6" s="26" t="str">
        <f aca="false">IF(ABS(E6)&gt;0.05,"⚠ Rebalance","✓ OK")</f>
        <v>⚠ Rebalance</v>
      </c>
    </row>
    <row r="7" customFormat="false" ht="15" hidden="false" customHeight="false" outlineLevel="0" collapsed="false">
      <c r="A7" s="9" t="s">
        <v>58</v>
      </c>
      <c r="B7" s="25" t="n">
        <v>0.1</v>
      </c>
      <c r="C7" s="18" t="n">
        <v>0</v>
      </c>
      <c r="D7" s="13" t="n">
        <f aca="false">IFERROR(C7/$C$10,0)</f>
        <v>0</v>
      </c>
      <c r="E7" s="13" t="n">
        <f aca="false">D7-B7</f>
        <v>-0.1</v>
      </c>
      <c r="F7" s="26" t="str">
        <f aca="false">IF(ABS(E7)&gt;0.05,"⚠ Rebalance","✓ OK")</f>
        <v>⚠ Rebalance</v>
      </c>
    </row>
    <row r="8" customFormat="false" ht="15" hidden="false" customHeight="false" outlineLevel="0" collapsed="false">
      <c r="A8" s="27" t="s">
        <v>59</v>
      </c>
      <c r="B8" s="25" t="n">
        <v>0.1</v>
      </c>
      <c r="C8" s="18" t="n">
        <v>0</v>
      </c>
      <c r="D8" s="13" t="n">
        <f aca="false">IFERROR(C8/$C$10,0)</f>
        <v>0</v>
      </c>
      <c r="E8" s="13" t="n">
        <f aca="false">D8-B8</f>
        <v>-0.1</v>
      </c>
      <c r="F8" s="26" t="str">
        <f aca="false">IF(ABS(E8)&gt;0.05,"⚠ Rebalance","✓ OK")</f>
        <v>⚠ Rebalance</v>
      </c>
    </row>
    <row r="9" customFormat="false" ht="15" hidden="false" customHeight="false" outlineLevel="0" collapsed="false">
      <c r="A9" s="9" t="s">
        <v>60</v>
      </c>
      <c r="B9" s="25" t="n">
        <v>0.05</v>
      </c>
      <c r="C9" s="18" t="n">
        <v>0</v>
      </c>
      <c r="D9" s="13" t="n">
        <f aca="false">IFERROR(C9/$C$10,0)</f>
        <v>0</v>
      </c>
      <c r="E9" s="13" t="n">
        <f aca="false">D9-B9</f>
        <v>-0.05</v>
      </c>
      <c r="F9" s="26" t="str">
        <f aca="false">IF(ABS(E9)&gt;0.05,"⚠ Rebalance","✓ OK")</f>
        <v>✓ OK</v>
      </c>
    </row>
    <row r="10" customFormat="false" ht="15" hidden="false" customHeight="false" outlineLevel="0" collapsed="false">
      <c r="A10" s="28" t="s">
        <v>61</v>
      </c>
      <c r="B10" s="29" t="n">
        <f aca="false">SUM(B5:B9)</f>
        <v>1</v>
      </c>
      <c r="C10" s="20" t="n">
        <f aca="false">SUM(C5:C9)</f>
        <v>0</v>
      </c>
      <c r="D10" s="29" t="n">
        <f aca="false">SUM(D5:D9)</f>
        <v>0</v>
      </c>
      <c r="E10" s="30"/>
      <c r="F10" s="30"/>
    </row>
    <row r="13" customFormat="false" ht="16.4" hidden="false" customHeight="false" outlineLevel="0" collapsed="false">
      <c r="A13" s="31" t="s">
        <v>62</v>
      </c>
      <c r="B13" s="31"/>
      <c r="C13" s="31"/>
      <c r="D13" s="31"/>
      <c r="E13" s="31"/>
      <c r="F13" s="31"/>
    </row>
    <row r="14" customFormat="false" ht="12.65" hidden="false" customHeight="false" outlineLevel="0" collapsed="false">
      <c r="A14" s="32" t="s">
        <v>63</v>
      </c>
      <c r="B14" s="32"/>
      <c r="C14" s="32"/>
      <c r="D14" s="32"/>
      <c r="E14" s="32"/>
      <c r="F14" s="32"/>
    </row>
    <row r="15" customFormat="false" ht="12.65" hidden="false" customHeight="false" outlineLevel="0" collapsed="false">
      <c r="A15" s="32" t="s">
        <v>64</v>
      </c>
      <c r="B15" s="32"/>
      <c r="C15" s="32"/>
      <c r="D15" s="32"/>
      <c r="E15" s="32"/>
      <c r="F15" s="32"/>
    </row>
    <row r="16" customFormat="false" ht="12.65" hidden="false" customHeight="false" outlineLevel="0" collapsed="false">
      <c r="A16" s="32" t="s">
        <v>65</v>
      </c>
      <c r="B16" s="32"/>
      <c r="C16" s="32"/>
      <c r="D16" s="32"/>
      <c r="E16" s="32"/>
      <c r="F16" s="32"/>
    </row>
    <row r="17" customFormat="false" ht="12.65" hidden="false" customHeight="false" outlineLevel="0" collapsed="false">
      <c r="A17" s="32" t="s">
        <v>66</v>
      </c>
      <c r="B17" s="32"/>
      <c r="C17" s="32"/>
      <c r="D17" s="32"/>
      <c r="E17" s="32"/>
      <c r="F17" s="32"/>
    </row>
    <row r="18" customFormat="false" ht="12.65" hidden="false" customHeight="false" outlineLevel="0" collapsed="false">
      <c r="A18" s="32" t="s">
        <v>67</v>
      </c>
      <c r="B18" s="32"/>
      <c r="C18" s="32"/>
      <c r="D18" s="32"/>
      <c r="E18" s="32"/>
      <c r="F18" s="32"/>
    </row>
  </sheetData>
  <mergeCells count="8">
    <mergeCell ref="A1:F1"/>
    <mergeCell ref="A2:F2"/>
    <mergeCell ref="A13:F13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5" t="s">
        <v>68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69</v>
      </c>
      <c r="B2" s="16"/>
      <c r="C2" s="16"/>
      <c r="D2" s="16"/>
      <c r="E2" s="16"/>
      <c r="F2" s="16"/>
    </row>
    <row r="4" customFormat="false" ht="15" hidden="false" customHeight="false" outlineLevel="0" collapsed="false">
      <c r="A4" s="8" t="s">
        <v>70</v>
      </c>
      <c r="B4" s="8" t="s">
        <v>71</v>
      </c>
      <c r="C4" s="8" t="s">
        <v>72</v>
      </c>
      <c r="D4" s="8" t="s">
        <v>73</v>
      </c>
      <c r="E4" s="7" t="s">
        <v>74</v>
      </c>
      <c r="F4" s="8" t="s">
        <v>75</v>
      </c>
    </row>
    <row r="5" customFormat="false" ht="15" hidden="false" customHeight="false" outlineLevel="0" collapsed="false">
      <c r="A5" s="28" t="s">
        <v>76</v>
      </c>
      <c r="B5" s="9" t="s">
        <v>77</v>
      </c>
      <c r="C5" s="18" t="n">
        <v>150000</v>
      </c>
      <c r="D5" s="18" t="n">
        <v>180000</v>
      </c>
      <c r="E5" s="18" t="n">
        <v>300000</v>
      </c>
      <c r="F5" s="13" t="n">
        <f aca="false">IFERROR(C5/D5,0)</f>
        <v>0.833333333333333</v>
      </c>
    </row>
    <row r="6" customFormat="false" ht="15" hidden="false" customHeight="false" outlineLevel="0" collapsed="false">
      <c r="A6" s="27"/>
      <c r="B6" s="9" t="s">
        <v>78</v>
      </c>
      <c r="C6" s="33" t="n">
        <v>0</v>
      </c>
      <c r="D6" s="33" t="n">
        <v>0</v>
      </c>
      <c r="E6" s="33" t="n">
        <v>1</v>
      </c>
      <c r="F6" s="13" t="n">
        <f aca="false">IFERROR(C6/D6,0)</f>
        <v>0</v>
      </c>
    </row>
    <row r="7" customFormat="false" ht="15" hidden="false" customHeight="false" outlineLevel="0" collapsed="false">
      <c r="A7" s="27"/>
      <c r="B7" s="27" t="s">
        <v>79</v>
      </c>
      <c r="C7" s="33" t="n">
        <v>0</v>
      </c>
      <c r="D7" s="33" t="n">
        <v>4</v>
      </c>
      <c r="E7" s="33" t="n">
        <v>5</v>
      </c>
      <c r="F7" s="13" t="n">
        <f aca="false">IFERROR(C7/D7,0)</f>
        <v>0</v>
      </c>
    </row>
    <row r="8" customFormat="false" ht="15" hidden="false" customHeight="false" outlineLevel="0" collapsed="false">
      <c r="A8" s="27"/>
      <c r="B8" s="27" t="s">
        <v>80</v>
      </c>
      <c r="C8" s="33" t="n">
        <v>0</v>
      </c>
      <c r="D8" s="33" t="n">
        <v>1</v>
      </c>
      <c r="E8" s="33" t="n">
        <v>4</v>
      </c>
      <c r="F8" s="13" t="n">
        <f aca="false">IFERROR(C8/D8,0)</f>
        <v>0</v>
      </c>
    </row>
    <row r="9" customFormat="false" ht="15" hidden="false" customHeight="false" outlineLevel="0" collapsed="false">
      <c r="A9" s="27"/>
      <c r="B9" s="27" t="s">
        <v>81</v>
      </c>
      <c r="C9" s="33" t="n">
        <v>0</v>
      </c>
      <c r="D9" s="33" t="n">
        <v>30</v>
      </c>
      <c r="E9" s="33" t="n">
        <v>150</v>
      </c>
      <c r="F9" s="13" t="n">
        <f aca="false">IFERROR(C9/D9,0)</f>
        <v>0</v>
      </c>
    </row>
    <row r="10" customFormat="false" ht="15" hidden="false" customHeight="false" outlineLevel="0" collapsed="false">
      <c r="A10" s="28" t="s">
        <v>82</v>
      </c>
      <c r="B10" s="27" t="s">
        <v>83</v>
      </c>
      <c r="C10" s="34" t="n">
        <v>0</v>
      </c>
      <c r="D10" s="34" t="n">
        <v>500</v>
      </c>
      <c r="E10" s="34" t="n">
        <v>3000</v>
      </c>
      <c r="F10" s="13" t="n">
        <f aca="false">IFERROR(C10/D10,0)</f>
        <v>0</v>
      </c>
    </row>
    <row r="11" customFormat="false" ht="15" hidden="false" customHeight="false" outlineLevel="0" collapsed="false">
      <c r="A11" s="27"/>
      <c r="B11" s="9" t="s">
        <v>84</v>
      </c>
      <c r="C11" s="33" t="n">
        <v>0</v>
      </c>
      <c r="D11" s="33" t="n">
        <v>50</v>
      </c>
      <c r="E11" s="33" t="n">
        <v>300</v>
      </c>
      <c r="F11" s="13" t="n">
        <f aca="false">IFERROR(C11/D11,0)</f>
        <v>0</v>
      </c>
    </row>
    <row r="12" customFormat="false" ht="15" hidden="false" customHeight="false" outlineLevel="0" collapsed="false">
      <c r="A12" s="27"/>
      <c r="B12" s="27" t="s">
        <v>85</v>
      </c>
      <c r="C12" s="33" t="n">
        <v>0</v>
      </c>
      <c r="D12" s="33" t="n">
        <v>1000</v>
      </c>
      <c r="E12" s="33" t="n">
        <v>5000</v>
      </c>
      <c r="F12" s="13" t="n">
        <f aca="false">IFERROR(C12/D12,0)</f>
        <v>0</v>
      </c>
    </row>
    <row r="13" customFormat="false" ht="15" hidden="false" customHeight="false" outlineLevel="0" collapsed="false">
      <c r="A13" s="27"/>
      <c r="B13" s="27" t="s">
        <v>86</v>
      </c>
      <c r="C13" s="33" t="n">
        <v>0</v>
      </c>
      <c r="D13" s="33" t="n">
        <v>24</v>
      </c>
      <c r="E13" s="33" t="n">
        <v>100</v>
      </c>
      <c r="F13" s="13" t="n">
        <f aca="false">IFERROR(C13/D13,0)</f>
        <v>0</v>
      </c>
    </row>
    <row r="14" customFormat="false" ht="15" hidden="false" customHeight="false" outlineLevel="0" collapsed="false">
      <c r="A14" s="27"/>
      <c r="B14" s="27" t="s">
        <v>87</v>
      </c>
      <c r="C14" s="33" t="n">
        <v>0</v>
      </c>
      <c r="D14" s="33" t="n">
        <v>200</v>
      </c>
      <c r="E14" s="33" t="n">
        <v>1500</v>
      </c>
      <c r="F14" s="13" t="n">
        <f aca="false">IFERROR(C14/D14,0)</f>
        <v>0</v>
      </c>
    </row>
    <row r="15" customFormat="false" ht="15" hidden="false" customHeight="false" outlineLevel="0" collapsed="false">
      <c r="A15" s="28" t="s">
        <v>88</v>
      </c>
      <c r="B15" s="9" t="s">
        <v>89</v>
      </c>
      <c r="C15" s="34" t="n">
        <v>0</v>
      </c>
      <c r="D15" s="34" t="n">
        <v>5000</v>
      </c>
      <c r="E15" s="34" t="n">
        <v>50000</v>
      </c>
      <c r="F15" s="13" t="n">
        <f aca="false">IFERROR(C15/D15,0)</f>
        <v>0</v>
      </c>
    </row>
    <row r="16" customFormat="false" ht="15" hidden="false" customHeight="false" outlineLevel="0" collapsed="false">
      <c r="A16" s="27"/>
      <c r="B16" s="27" t="s">
        <v>90</v>
      </c>
      <c r="C16" s="33" t="n">
        <v>0</v>
      </c>
      <c r="D16" s="33" t="n">
        <v>0</v>
      </c>
      <c r="E16" s="33" t="n">
        <v>500</v>
      </c>
      <c r="F16" s="13" t="n">
        <f aca="false">IFERROR(C16/D16,0)</f>
        <v>0</v>
      </c>
    </row>
    <row r="17" customFormat="false" ht="15" hidden="false" customHeight="false" outlineLevel="0" collapsed="false">
      <c r="A17" s="27"/>
      <c r="B17" s="9" t="s">
        <v>91</v>
      </c>
      <c r="C17" s="33" t="n">
        <v>0</v>
      </c>
      <c r="D17" s="33" t="n">
        <v>0</v>
      </c>
      <c r="E17" s="33" t="n">
        <v>6</v>
      </c>
      <c r="F17" s="13" t="n">
        <f aca="false">IFERROR(C17/D17,0)</f>
        <v>0</v>
      </c>
    </row>
    <row r="18" customFormat="false" ht="15" hidden="false" customHeight="false" outlineLevel="0" collapsed="false">
      <c r="A18" s="27"/>
      <c r="B18" s="27" t="s">
        <v>92</v>
      </c>
      <c r="C18" s="33" t="n">
        <v>0</v>
      </c>
      <c r="D18" s="33" t="n">
        <v>0</v>
      </c>
      <c r="E18" s="33" t="n">
        <v>2</v>
      </c>
      <c r="F18" s="13" t="n">
        <f aca="false">IFERROR(C18/D18,0)</f>
        <v>0</v>
      </c>
    </row>
    <row r="19" customFormat="false" ht="15" hidden="false" customHeight="false" outlineLevel="0" collapsed="false">
      <c r="A19" s="28" t="s">
        <v>93</v>
      </c>
      <c r="B19" s="9" t="s">
        <v>94</v>
      </c>
      <c r="C19" s="18" t="n">
        <v>3000</v>
      </c>
      <c r="D19" s="18" t="n">
        <v>5000</v>
      </c>
      <c r="E19" s="18" t="n">
        <v>15000</v>
      </c>
      <c r="F19" s="13" t="n">
        <f aca="false">IFERROR(C19/D19,0)</f>
        <v>0.6</v>
      </c>
    </row>
    <row r="20" customFormat="false" ht="15" hidden="false" customHeight="false" outlineLevel="0" collapsed="false">
      <c r="A20" s="27"/>
      <c r="B20" s="9" t="s">
        <v>95</v>
      </c>
      <c r="C20" s="18" t="n">
        <v>0</v>
      </c>
      <c r="D20" s="18" t="n">
        <v>50000</v>
      </c>
      <c r="E20" s="18" t="n">
        <v>350000</v>
      </c>
      <c r="F20" s="13" t="n">
        <f aca="false">IFERROR(C20/D20,0)</f>
        <v>0</v>
      </c>
    </row>
    <row r="21" customFormat="false" ht="15" hidden="false" customHeight="false" outlineLevel="0" collapsed="false">
      <c r="A21" s="27"/>
      <c r="B21" s="9" t="s">
        <v>96</v>
      </c>
      <c r="C21" s="25" t="n">
        <v>0</v>
      </c>
      <c r="D21" s="25" t="n">
        <v>0.07</v>
      </c>
      <c r="E21" s="25" t="n">
        <v>0.08</v>
      </c>
      <c r="F21" s="13" t="n">
        <f aca="false">IFERROR(C21/D21,0)</f>
        <v>0</v>
      </c>
    </row>
    <row r="22" customFormat="false" ht="15" hidden="false" customHeight="false" outlineLevel="0" collapsed="false">
      <c r="A22" s="27"/>
      <c r="B22" s="9" t="s">
        <v>97</v>
      </c>
      <c r="C22" s="18" t="n">
        <v>0</v>
      </c>
      <c r="D22" s="18" t="n">
        <v>1500</v>
      </c>
      <c r="E22" s="18" t="n">
        <v>15000</v>
      </c>
      <c r="F22" s="13" t="n">
        <f aca="false">IFERROR(C22/D22,0)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6" min="4" style="0" width="14"/>
  </cols>
  <sheetData>
    <row r="1" customFormat="false" ht="19.4" hidden="false" customHeight="false" outlineLevel="0" collapsed="false">
      <c r="A1" s="15" t="s">
        <v>98</v>
      </c>
      <c r="B1" s="15"/>
      <c r="C1" s="15"/>
      <c r="D1" s="15"/>
      <c r="E1" s="15"/>
      <c r="F1" s="15"/>
    </row>
    <row r="2" customFormat="false" ht="28.35" hidden="false" customHeight="false" outlineLevel="0" collapsed="false">
      <c r="A2" s="7" t="s">
        <v>10</v>
      </c>
      <c r="B2" s="8" t="s">
        <v>11</v>
      </c>
      <c r="C2" s="8" t="s">
        <v>99</v>
      </c>
      <c r="D2" s="8" t="s">
        <v>100</v>
      </c>
      <c r="E2" s="8" t="s">
        <v>13</v>
      </c>
      <c r="F2" s="8" t="s">
        <v>101</v>
      </c>
    </row>
    <row r="3" customFormat="false" ht="15" hidden="false" customHeight="false" outlineLevel="0" collapsed="false">
      <c r="A3" s="35" t="s">
        <v>16</v>
      </c>
      <c r="B3" s="36" t="n">
        <v>46752</v>
      </c>
      <c r="C3" s="37" t="s">
        <v>102</v>
      </c>
      <c r="D3" s="11" t="n">
        <f aca="true">B3-TODAY()</f>
        <v>630</v>
      </c>
      <c r="E3" s="18" t="n">
        <v>80000</v>
      </c>
      <c r="F3" s="18" t="n">
        <v>0</v>
      </c>
    </row>
    <row r="4" customFormat="false" ht="15" hidden="false" customHeight="false" outlineLevel="0" collapsed="false">
      <c r="A4" s="35" t="s">
        <v>17</v>
      </c>
      <c r="B4" s="36" t="n">
        <v>47299</v>
      </c>
      <c r="C4" s="38" t="s">
        <v>103</v>
      </c>
      <c r="D4" s="11" t="n">
        <f aca="true">B4-TODAY()</f>
        <v>1177</v>
      </c>
      <c r="E4" s="18" t="n">
        <v>400000</v>
      </c>
      <c r="F4" s="18" t="n">
        <v>0</v>
      </c>
    </row>
    <row r="5" customFormat="false" ht="15" hidden="false" customHeight="false" outlineLevel="0" collapsed="false">
      <c r="A5" s="35" t="s">
        <v>18</v>
      </c>
      <c r="B5" s="36" t="n">
        <v>47664</v>
      </c>
      <c r="C5" s="37" t="s">
        <v>104</v>
      </c>
      <c r="D5" s="11" t="n">
        <f aca="true">B5-TODAY()</f>
        <v>1542</v>
      </c>
      <c r="E5" s="18" t="n">
        <v>30000</v>
      </c>
      <c r="F5" s="18" t="n">
        <v>0</v>
      </c>
    </row>
    <row r="6" customFormat="false" ht="15" hidden="false" customHeight="false" outlineLevel="0" collapsed="false">
      <c r="A6" s="35" t="s">
        <v>105</v>
      </c>
      <c r="B6" s="36" t="n">
        <v>46387</v>
      </c>
      <c r="C6" s="38" t="s">
        <v>106</v>
      </c>
      <c r="D6" s="11" t="n">
        <f aca="true">B6-TODAY()</f>
        <v>265</v>
      </c>
      <c r="E6" s="18" t="n">
        <v>100000</v>
      </c>
      <c r="F6" s="18" t="n">
        <v>0</v>
      </c>
    </row>
    <row r="7" customFormat="false" ht="15" hidden="false" customHeight="false" outlineLevel="0" collapsed="false">
      <c r="A7" s="35" t="s">
        <v>107</v>
      </c>
      <c r="B7" s="36" t="n">
        <v>47848</v>
      </c>
      <c r="C7" s="37" t="s">
        <v>108</v>
      </c>
      <c r="D7" s="11" t="n">
        <f aca="true">B7-TODAY()</f>
        <v>1726</v>
      </c>
      <c r="E7" s="18" t="n">
        <v>10000</v>
      </c>
      <c r="F7" s="18" t="n">
        <v>0</v>
      </c>
    </row>
    <row r="10" customFormat="false" ht="12.65" hidden="false" customHeight="false" outlineLevel="0" collapsed="false">
      <c r="A10" s="39" t="s">
        <v>109</v>
      </c>
      <c r="B10" s="39"/>
      <c r="C10" s="39"/>
      <c r="D10" s="39"/>
      <c r="E10" s="39"/>
      <c r="F10" s="39"/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5" t="s">
        <v>110</v>
      </c>
      <c r="B1" s="15"/>
      <c r="C1" s="15"/>
      <c r="D1" s="15"/>
      <c r="E1" s="15"/>
      <c r="F1" s="15"/>
    </row>
    <row r="2" customFormat="false" ht="12.65" hidden="false" customHeight="false" outlineLevel="0" collapsed="false">
      <c r="A2" s="16" t="s">
        <v>111</v>
      </c>
      <c r="B2" s="16"/>
      <c r="C2" s="16"/>
      <c r="D2" s="16"/>
      <c r="E2" s="16"/>
      <c r="F2" s="16"/>
    </row>
    <row r="4" customFormat="false" ht="15" hidden="false" customHeight="false" outlineLevel="0" collapsed="false">
      <c r="A4" s="8" t="s">
        <v>112</v>
      </c>
      <c r="B4" s="8" t="s">
        <v>113</v>
      </c>
      <c r="C4" s="8" t="s">
        <v>114</v>
      </c>
      <c r="D4" s="8" t="s">
        <v>115</v>
      </c>
      <c r="E4" s="8" t="s">
        <v>116</v>
      </c>
      <c r="F4" s="8" t="s">
        <v>117</v>
      </c>
    </row>
    <row r="5" customFormat="false" ht="15" hidden="false" customHeight="false" outlineLevel="0" collapsed="false">
      <c r="A5" s="9" t="s">
        <v>118</v>
      </c>
      <c r="B5" s="9" t="s">
        <v>119</v>
      </c>
      <c r="C5" s="40" t="s">
        <v>120</v>
      </c>
      <c r="D5" s="41" t="s">
        <v>121</v>
      </c>
      <c r="E5" s="42" t="s">
        <v>122</v>
      </c>
      <c r="F5" s="41"/>
    </row>
    <row r="6" customFormat="false" ht="15" hidden="false" customHeight="false" outlineLevel="0" collapsed="false">
      <c r="A6" s="9" t="s">
        <v>123</v>
      </c>
      <c r="B6" s="27" t="s">
        <v>124</v>
      </c>
      <c r="C6" s="40" t="s">
        <v>120</v>
      </c>
      <c r="D6" s="41" t="s">
        <v>125</v>
      </c>
      <c r="E6" s="42" t="s">
        <v>122</v>
      </c>
      <c r="F6" s="41"/>
    </row>
    <row r="7" customFormat="false" ht="15" hidden="false" customHeight="false" outlineLevel="0" collapsed="false">
      <c r="A7" s="9" t="s">
        <v>126</v>
      </c>
      <c r="B7" s="9" t="s">
        <v>127</v>
      </c>
      <c r="C7" s="40" t="s">
        <v>120</v>
      </c>
      <c r="D7" s="41" t="s">
        <v>128</v>
      </c>
      <c r="E7" s="42" t="s">
        <v>122</v>
      </c>
      <c r="F7" s="41"/>
    </row>
    <row r="8" customFormat="false" ht="15" hidden="false" customHeight="false" outlineLevel="0" collapsed="false">
      <c r="A8" s="27" t="s">
        <v>129</v>
      </c>
      <c r="B8" s="27" t="s">
        <v>130</v>
      </c>
      <c r="C8" s="40" t="s">
        <v>131</v>
      </c>
      <c r="D8" s="41" t="s">
        <v>121</v>
      </c>
      <c r="E8" s="42" t="s">
        <v>122</v>
      </c>
      <c r="F8" s="41"/>
    </row>
    <row r="9" customFormat="false" ht="15" hidden="false" customHeight="false" outlineLevel="0" collapsed="false">
      <c r="A9" s="9" t="s">
        <v>132</v>
      </c>
      <c r="B9" s="9" t="s">
        <v>133</v>
      </c>
      <c r="C9" s="40" t="s">
        <v>134</v>
      </c>
      <c r="D9" s="41" t="s">
        <v>135</v>
      </c>
      <c r="E9" s="42" t="s">
        <v>122</v>
      </c>
      <c r="F9" s="41"/>
    </row>
    <row r="10" customFormat="false" ht="15" hidden="false" customHeight="false" outlineLevel="0" collapsed="false">
      <c r="A10" s="27" t="s">
        <v>136</v>
      </c>
      <c r="B10" s="9" t="s">
        <v>137</v>
      </c>
      <c r="C10" s="41" t="s">
        <v>138</v>
      </c>
      <c r="D10" s="40" t="s">
        <v>139</v>
      </c>
      <c r="E10" s="42" t="s">
        <v>140</v>
      </c>
      <c r="F10" s="40" t="s">
        <v>141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5" min="3" style="0" width="20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9.4" hidden="false" customHeight="false" outlineLevel="0" collapsed="false">
      <c r="A1" s="1" t="s">
        <v>142</v>
      </c>
      <c r="B1" s="1"/>
      <c r="C1" s="1"/>
      <c r="D1" s="1"/>
      <c r="E1" s="1"/>
      <c r="F1" s="1"/>
      <c r="G1" s="1"/>
    </row>
    <row r="2" customFormat="false" ht="12.65" hidden="false" customHeight="false" outlineLevel="0" collapsed="false">
      <c r="A2" s="16" t="s">
        <v>143</v>
      </c>
      <c r="B2" s="16"/>
      <c r="C2" s="16"/>
      <c r="D2" s="16"/>
      <c r="E2" s="16"/>
      <c r="F2" s="16"/>
      <c r="G2" s="16"/>
    </row>
    <row r="4" customFormat="false" ht="15" hidden="false" customHeight="false" outlineLevel="0" collapsed="false">
      <c r="A4" s="8" t="s">
        <v>144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</row>
    <row r="5" customFormat="false" ht="15" hidden="false" customHeight="false" outlineLevel="0" collapsed="false">
      <c r="A5" s="43" t="s">
        <v>151</v>
      </c>
      <c r="B5" s="19" t="n">
        <f aca="false">Assumptions!B4</f>
        <v>3000</v>
      </c>
      <c r="C5" s="19" t="n">
        <f aca="false">Assumptions!B3+B5*12</f>
        <v>86000</v>
      </c>
      <c r="D5" s="19" t="n">
        <f aca="false">Assumptions!B3+B5*12</f>
        <v>86000</v>
      </c>
      <c r="E5" s="19" t="n">
        <f aca="false">Assumptions!B3+B5*12</f>
        <v>86000</v>
      </c>
      <c r="F5" s="19" t="n">
        <f aca="false">Assumptions!B9*12</f>
        <v>72000</v>
      </c>
      <c r="G5" s="13" t="n">
        <f aca="false">IFERROR(1-D5/Assumptions!B17,1)</f>
        <v>-2149999</v>
      </c>
    </row>
    <row r="6" customFormat="false" ht="15" hidden="false" customHeight="false" outlineLevel="0" collapsed="false">
      <c r="A6" s="43" t="s">
        <v>152</v>
      </c>
      <c r="B6" s="19" t="n">
        <f aca="false">B5*(1+Assumptions!B5)</f>
        <v>3450</v>
      </c>
      <c r="C6" s="19" t="n">
        <f aca="false">C5*(1+Assumptions!B6)+B6*12</f>
        <v>133420</v>
      </c>
      <c r="D6" s="19" t="n">
        <f aca="false">D5*(1+Assumptions!B7)+B6*12</f>
        <v>134280</v>
      </c>
      <c r="E6" s="19" t="n">
        <f aca="false">E5*(1+Assumptions!B8)+B6*12</f>
        <v>135140</v>
      </c>
      <c r="F6" s="19" t="n">
        <f aca="false">F5*(1+Assumptions!B10)</f>
        <v>74520</v>
      </c>
      <c r="G6" s="13" t="n">
        <f aca="false">IFERROR(1-D6/Assumptions!B17,1)</f>
        <v>-3356999</v>
      </c>
    </row>
    <row r="7" customFormat="false" ht="15" hidden="false" customHeight="false" outlineLevel="0" collapsed="false">
      <c r="A7" s="43" t="s">
        <v>153</v>
      </c>
      <c r="B7" s="19" t="n">
        <f aca="false">B6*(1+Assumptions!B5)</f>
        <v>3967.5</v>
      </c>
      <c r="C7" s="19" t="n">
        <f aca="false">C6*(1+Assumptions!B6)+B7*12</f>
        <v>190369.4</v>
      </c>
      <c r="D7" s="19" t="n">
        <f aca="false">D6*(1+Assumptions!B7)+B7*12</f>
        <v>192632.4</v>
      </c>
      <c r="E7" s="19" t="n">
        <f aca="false">E6*(1+Assumptions!B8)+B7*12</f>
        <v>194912.6</v>
      </c>
      <c r="F7" s="19" t="n">
        <f aca="false">F6*(1+Assumptions!B10)</f>
        <v>77128.2</v>
      </c>
      <c r="G7" s="13" t="n">
        <f aca="false">IFERROR(1-D7/Assumptions!B17,1)</f>
        <v>-4815809</v>
      </c>
    </row>
    <row r="8" customFormat="false" ht="15" hidden="false" customHeight="false" outlineLevel="0" collapsed="false">
      <c r="A8" s="43" t="s">
        <v>154</v>
      </c>
      <c r="B8" s="19" t="n">
        <f aca="false">B7*(1+Assumptions!B5)</f>
        <v>4562.625</v>
      </c>
      <c r="C8" s="19" t="n">
        <f aca="false">C7*(1+Assumptions!B6)+B8*12</f>
        <v>258446.758</v>
      </c>
      <c r="D8" s="19" t="n">
        <f aca="false">D7*(1+Assumptions!B7)+B8*12</f>
        <v>262794.492</v>
      </c>
      <c r="E8" s="19" t="n">
        <f aca="false">E7*(1+Assumptions!B8)+B8*12</f>
        <v>267206.234</v>
      </c>
      <c r="F8" s="19" t="n">
        <f aca="false">F7*(1+Assumptions!B10)</f>
        <v>79827.687</v>
      </c>
      <c r="G8" s="13" t="n">
        <f aca="false">IFERROR(1-D8/Assumptions!B17,1)</f>
        <v>-6569861.3</v>
      </c>
    </row>
    <row r="9" customFormat="false" ht="15" hidden="false" customHeight="false" outlineLevel="0" collapsed="false">
      <c r="A9" s="43" t="s">
        <v>155</v>
      </c>
      <c r="B9" s="19" t="n">
        <f aca="false">B8*(1+Assumptions!B5)</f>
        <v>5247.01875</v>
      </c>
      <c r="C9" s="19" t="n">
        <f aca="false">C8*(1+Assumptions!B6)+B9*12</f>
        <v>339502.25606</v>
      </c>
      <c r="D9" s="19" t="n">
        <f aca="false">D8*(1+Assumptions!B7)+B9*12</f>
        <v>346782.27636</v>
      </c>
      <c r="E9" s="19" t="n">
        <f aca="false">E8*(1+Assumptions!B8)+B9*12</f>
        <v>354219.02006</v>
      </c>
      <c r="F9" s="19" t="n">
        <f aca="false">F8*(1+Assumptions!B10)</f>
        <v>82621.656045</v>
      </c>
      <c r="G9" s="13" t="n">
        <f aca="false">IFERROR(1-D9/Assumptions!B17,1)</f>
        <v>-8669555.909</v>
      </c>
    </row>
    <row r="10" customFormat="false" ht="15" hidden="false" customHeight="false" outlineLevel="0" collapsed="false">
      <c r="A10" s="43" t="s">
        <v>156</v>
      </c>
      <c r="B10" s="19" t="n">
        <f aca="false">B9*(1+Assumptions!B5)</f>
        <v>6034.0715625</v>
      </c>
      <c r="C10" s="19" t="n">
        <f aca="false">C9*(1+Assumptions!B6)+B10*12</f>
        <v>435676.2727342</v>
      </c>
      <c r="D10" s="19" t="n">
        <f aca="false">D9*(1+Assumptions!B7)+B10*12</f>
        <v>446933.7172188</v>
      </c>
      <c r="E10" s="19" t="n">
        <f aca="false">E9*(1+Assumptions!B8)+B10*12</f>
        <v>458507.5906154</v>
      </c>
      <c r="F10" s="19" t="n">
        <f aca="false">F9*(1+Assumptions!B10)</f>
        <v>85513.414006575</v>
      </c>
      <c r="G10" s="13" t="n">
        <f aca="false">IFERROR(1-D10/Assumptions!B17,1)</f>
        <v>-11173341.93047</v>
      </c>
    </row>
    <row r="11" customFormat="false" ht="15" hidden="false" customHeight="false" outlineLevel="0" collapsed="false">
      <c r="A11" s="43" t="s">
        <v>157</v>
      </c>
      <c r="B11" s="19" t="n">
        <f aca="false">B10*(1+Assumptions!B5)</f>
        <v>6939.182296875</v>
      </c>
      <c r="C11" s="19" t="n">
        <f aca="false">C10*(1+Assumptions!B6)+B11*12</f>
        <v>549443.799388094</v>
      </c>
      <c r="D11" s="19" t="n">
        <f aca="false">D10*(1+Assumptions!B7)+B11*12</f>
        <v>565958.602158804</v>
      </c>
      <c r="E11" s="19" t="n">
        <f aca="false">E10*(1+Assumptions!B8)+B11*12</f>
        <v>583043.461333286</v>
      </c>
      <c r="F11" s="19" t="n">
        <f aca="false">F10*(1+Assumptions!B10)</f>
        <v>88506.3834968051</v>
      </c>
      <c r="G11" s="13" t="n">
        <f aca="false">IFERROR(1-D11/Assumptions!B17,1)</f>
        <v>-14148964.0539701</v>
      </c>
    </row>
    <row r="12" customFormat="false" ht="15" hidden="false" customHeight="false" outlineLevel="0" collapsed="false">
      <c r="A12" s="43" t="s">
        <v>158</v>
      </c>
      <c r="B12" s="19" t="n">
        <f aca="false">B11*(1+Assumptions!B5)</f>
        <v>7980.05964140625</v>
      </c>
      <c r="C12" s="19" t="n">
        <f aca="false">C11*(1+Assumptions!B6)+B12*12</f>
        <v>683665.581042135</v>
      </c>
      <c r="D12" s="19" t="n">
        <f aca="false">D11*(1+Assumptions!B7)+B12*12</f>
        <v>706996.006028383</v>
      </c>
      <c r="E12" s="19" t="n">
        <f aca="false">E11*(1+Assumptions!B8)+B12*12</f>
        <v>731278.088550157</v>
      </c>
      <c r="F12" s="19" t="n">
        <f aca="false">F11*(1+Assumptions!B10)</f>
        <v>91604.1069191933</v>
      </c>
      <c r="G12" s="13" t="n">
        <f aca="false">IFERROR(1-D12/Assumptions!B17,1)</f>
        <v>-17674899.1507096</v>
      </c>
    </row>
    <row r="13" customFormat="false" ht="15" hidden="false" customHeight="false" outlineLevel="0" collapsed="false">
      <c r="A13" s="43" t="s">
        <v>159</v>
      </c>
      <c r="B13" s="19" t="n">
        <f aca="false">B12*(1+Assumptions!B5)</f>
        <v>9177.06858761718</v>
      </c>
      <c r="C13" s="19" t="n">
        <f aca="false">C12*(1+Assumptions!B6)+B13*12</f>
        <v>841646.994766491</v>
      </c>
      <c r="D13" s="19" t="n">
        <f aca="false">D12*(1+Assumptions!B7)+B13*12</f>
        <v>873680.50956206</v>
      </c>
      <c r="E13" s="19" t="n">
        <f aca="false">E12*(1+Assumptions!B8)+B13*12</f>
        <v>907217.939571077</v>
      </c>
      <c r="F13" s="19" t="n">
        <f aca="false">F12*(1+Assumptions!B10)</f>
        <v>94810.250661365</v>
      </c>
      <c r="G13" s="13" t="n">
        <f aca="false">IFERROR(1-D13/Assumptions!B17,1)</f>
        <v>-21842011.7390515</v>
      </c>
    </row>
    <row r="14" customFormat="false" ht="15" hidden="false" customHeight="false" outlineLevel="0" collapsed="false">
      <c r="A14" s="43" t="s">
        <v>160</v>
      </c>
      <c r="B14" s="19" t="n">
        <f aca="false">B13*(1+Assumptions!B5)</f>
        <v>10553.6288757598</v>
      </c>
      <c r="C14" s="19" t="n">
        <f aca="false">C13*(1+Assumptions!B6)+B14*12</f>
        <v>1027205.83090926</v>
      </c>
      <c r="D14" s="19" t="n">
        <f aca="false">D13*(1+Assumptions!B7)+B14*12</f>
        <v>1070218.49683614</v>
      </c>
      <c r="E14" s="19" t="n">
        <f aca="false">E13*(1+Assumptions!B8)+B14*12</f>
        <v>1115511.10064159</v>
      </c>
      <c r="F14" s="19" t="n">
        <f aca="false">F13*(1+Assumptions!B10)</f>
        <v>98128.6094345128</v>
      </c>
      <c r="G14" s="13" t="n">
        <f aca="false">IFERROR(1-D14/Assumptions!B17,1)</f>
        <v>-26755461.4209036</v>
      </c>
    </row>
    <row r="15" customFormat="false" ht="15" hidden="false" customHeight="false" outlineLevel="0" collapsed="false">
      <c r="A15" s="43" t="s">
        <v>161</v>
      </c>
      <c r="B15" s="19" t="n">
        <f aca="false">B14*(1+Assumptions!B5)</f>
        <v>12136.6732071237</v>
      </c>
      <c r="C15" s="19" t="n">
        <f aca="false">C14*(1+Assumptions!B6)+B15*12</f>
        <v>1244750.3175584</v>
      </c>
      <c r="D15" s="19" t="n">
        <f aca="false">D14*(1+Assumptions!B7)+B15*12</f>
        <v>1301476.05506852</v>
      </c>
      <c r="E15" s="19" t="n">
        <f aca="false">E14*(1+Assumptions!B8)+B15*12</f>
        <v>1361547.17818482</v>
      </c>
      <c r="F15" s="19" t="n">
        <f aca="false">F14*(1+Assumptions!B10)</f>
        <v>101563.110764721</v>
      </c>
      <c r="G15" s="13" t="n">
        <f aca="false">IFERROR(1-D15/Assumptions!B17,1)</f>
        <v>-32536900.376713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35"/>
  </cols>
  <sheetData>
    <row r="1" customFormat="false" ht="19.4" hidden="false" customHeight="false" outlineLevel="0" collapsed="false">
      <c r="A1" s="15" t="s">
        <v>162</v>
      </c>
      <c r="B1" s="15"/>
      <c r="C1" s="15"/>
    </row>
    <row r="2" customFormat="false" ht="15" hidden="false" customHeight="false" outlineLevel="0" collapsed="false">
      <c r="A2" s="16" t="s">
        <v>163</v>
      </c>
      <c r="B2" s="16"/>
      <c r="C2" s="16"/>
    </row>
    <row r="3" customFormat="false" ht="15" hidden="false" customHeight="false" outlineLevel="0" collapsed="false">
      <c r="A3" s="28" t="s">
        <v>164</v>
      </c>
      <c r="B3" s="18" t="n">
        <v>50000</v>
      </c>
      <c r="C3" s="44" t="s">
        <v>165</v>
      </c>
    </row>
    <row r="4" customFormat="false" ht="15" hidden="false" customHeight="false" outlineLevel="0" collapsed="false">
      <c r="A4" s="28" t="s">
        <v>166</v>
      </c>
      <c r="B4" s="18" t="n">
        <v>3000</v>
      </c>
      <c r="C4" s="45" t="s">
        <v>167</v>
      </c>
    </row>
    <row r="5" customFormat="false" ht="15" hidden="false" customHeight="false" outlineLevel="0" collapsed="false">
      <c r="A5" s="28" t="s">
        <v>168</v>
      </c>
      <c r="B5" s="25" t="n">
        <v>0.15</v>
      </c>
      <c r="C5" s="44" t="s">
        <v>169</v>
      </c>
    </row>
    <row r="6" customFormat="false" ht="15" hidden="false" customHeight="false" outlineLevel="0" collapsed="false">
      <c r="A6" s="28" t="s">
        <v>170</v>
      </c>
      <c r="B6" s="25" t="n">
        <v>0.07</v>
      </c>
      <c r="C6" s="44" t="s">
        <v>171</v>
      </c>
    </row>
    <row r="7" customFormat="false" ht="15" hidden="false" customHeight="false" outlineLevel="0" collapsed="false">
      <c r="A7" s="28" t="s">
        <v>172</v>
      </c>
      <c r="B7" s="25" t="n">
        <v>0.08</v>
      </c>
      <c r="C7" s="44" t="s">
        <v>173</v>
      </c>
    </row>
    <row r="8" customFormat="false" ht="15" hidden="false" customHeight="false" outlineLevel="0" collapsed="false">
      <c r="A8" s="28" t="s">
        <v>174</v>
      </c>
      <c r="B8" s="25" t="n">
        <v>0.09</v>
      </c>
      <c r="C8" s="44" t="s">
        <v>175</v>
      </c>
    </row>
    <row r="9" customFormat="false" ht="15" hidden="false" customHeight="false" outlineLevel="0" collapsed="false">
      <c r="A9" s="28" t="s">
        <v>176</v>
      </c>
      <c r="B9" s="18" t="n">
        <v>6000</v>
      </c>
      <c r="C9" s="45" t="s">
        <v>167</v>
      </c>
    </row>
    <row r="10" customFormat="false" ht="15" hidden="false" customHeight="false" outlineLevel="0" collapsed="false">
      <c r="A10" s="28" t="s">
        <v>177</v>
      </c>
      <c r="B10" s="25" t="n">
        <v>0.035</v>
      </c>
      <c r="C10" s="45" t="s">
        <v>178</v>
      </c>
    </row>
    <row r="12" customFormat="false" ht="16.15" hidden="false" customHeight="false" outlineLevel="0" collapsed="false">
      <c r="A12" s="3" t="s">
        <v>179</v>
      </c>
      <c r="B12" s="3"/>
      <c r="C12" s="3"/>
    </row>
    <row r="13" customFormat="false" ht="15" hidden="false" customHeight="false" outlineLevel="0" collapsed="false">
      <c r="A13" s="28" t="s">
        <v>180</v>
      </c>
      <c r="B13" s="18" t="n">
        <v>100000</v>
      </c>
      <c r="C13" s="45" t="s">
        <v>181</v>
      </c>
    </row>
    <row r="14" customFormat="false" ht="15" hidden="false" customHeight="false" outlineLevel="0" collapsed="false">
      <c r="A14" s="28" t="s">
        <v>182</v>
      </c>
      <c r="B14" s="18" t="n">
        <v>1500000</v>
      </c>
      <c r="C14" s="45" t="s">
        <v>183</v>
      </c>
    </row>
    <row r="15" customFormat="false" ht="15" hidden="false" customHeight="false" outlineLevel="0" collapsed="false">
      <c r="A15" s="28" t="s">
        <v>184</v>
      </c>
      <c r="B15" s="18" t="n">
        <v>3000000</v>
      </c>
      <c r="C15" s="45" t="s">
        <v>185</v>
      </c>
    </row>
    <row r="16" customFormat="false" ht="15" hidden="false" customHeight="false" outlineLevel="0" collapsed="false">
      <c r="A16" s="28" t="s">
        <v>186</v>
      </c>
      <c r="B16" s="18" t="n">
        <v>5000000</v>
      </c>
      <c r="C16" s="45" t="s">
        <v>187</v>
      </c>
    </row>
    <row r="17" customFormat="false" ht="15" hidden="false" customHeight="false" outlineLevel="0" collapsed="false">
      <c r="A17" s="28" t="s">
        <v>188</v>
      </c>
      <c r="B17" s="25" t="n">
        <v>0.04</v>
      </c>
      <c r="C17" s="44" t="s">
        <v>189</v>
      </c>
    </row>
  </sheetData>
  <mergeCells count="3">
    <mergeCell ref="A1:C1"/>
    <mergeCell ref="A2:C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2026-04-10T11:20:20Z</dcterms:created>
  <dc:creator>openpyxl</dc:creator>
  <dc:description/>
  <dc:language>en-US</dc:language>
  <cp:lastModifiedBy/>
  <dcterms:modified xsi:type="dcterms:W3CDTF">2026-04-10T19:20:38Z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